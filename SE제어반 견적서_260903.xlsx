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 - 현대그룹\바탕 화면\서비스기술영업\SE제어반\"/>
    </mc:Choice>
  </mc:AlternateContent>
  <bookViews>
    <workbookView xWindow="28680" yWindow="-120" windowWidth="29040" windowHeight="15720" xr2:uid="{C3BF97BC-BB38-457E-A543-0D527CCA478F}"/>
  </bookViews>
  <sheets>
    <sheet name="SE 견적서" sheetId="17" r:id="rId1"/>
    <sheet name="사양 입력" sheetId="1" r:id="rId2"/>
    <sheet name="WBLX" sheetId="2" r:id="rId3"/>
    <sheet name="WBSS" sheetId="3" r:id="rId4"/>
    <sheet name="WBST" sheetId="18" r:id="rId5"/>
    <sheet name="원가정보3" sheetId="16" r:id="rId6"/>
    <sheet name="DROP DOWN 지정" sheetId="4" state="hidden" r:id="rId7"/>
    <sheet name="CP ASSY" sheetId="10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'CP ASSY'!$N$11:$Y$251</definedName>
    <definedName name="_xlnm._FilterDatabase" localSheetId="5" hidden="1">원가정보3!$A$1:$J$731</definedName>
    <definedName name="AA" localSheetId="0">#REF!</definedName>
    <definedName name="AA" localSheetId="4">#REF!</definedName>
    <definedName name="AA" localSheetId="5">#REF!</definedName>
    <definedName name="AA">#REF!</definedName>
    <definedName name="ASDF" localSheetId="0">#REF!</definedName>
    <definedName name="ASDF" localSheetId="4">#REF!</definedName>
    <definedName name="ASDF" localSheetId="5">#REF!</definedName>
    <definedName name="ASDF">#REF!</definedName>
    <definedName name="BB" localSheetId="0">#REF!</definedName>
    <definedName name="BB" localSheetId="4">#REF!</definedName>
    <definedName name="BB" localSheetId="5">#REF!</definedName>
    <definedName name="BB">#REF!</definedName>
    <definedName name="CAR_RAIL" localSheetId="0">#REF!</definedName>
    <definedName name="CAR_RAIL" localSheetId="4">#REF!</definedName>
    <definedName name="CAR_RAIL" localSheetId="5">#REF!</definedName>
    <definedName name="CAR_RAIL">#REF!</definedName>
    <definedName name="CAR_슈간격" localSheetId="0">#REF!</definedName>
    <definedName name="CAR_슈간격" localSheetId="4">#REF!</definedName>
    <definedName name="CAR_슈간격" localSheetId="5">#REF!</definedName>
    <definedName name="CAR_슈간격">#REF!</definedName>
    <definedName name="CAR_오메가" localSheetId="0">#REF!</definedName>
    <definedName name="CAR_오메가" localSheetId="4">#REF!</definedName>
    <definedName name="CAR_오메가" localSheetId="5">#REF!</definedName>
    <definedName name="CAR_오메가">#REF!</definedName>
    <definedName name="CARRAIL_A" localSheetId="0">#REF!</definedName>
    <definedName name="CARRAIL_A" localSheetId="4">#REF!</definedName>
    <definedName name="CARRAIL_A" localSheetId="5">#REF!</definedName>
    <definedName name="CARRAIL_A">#REF!</definedName>
    <definedName name="CARRAIL_단면2차_X" localSheetId="0">#REF!</definedName>
    <definedName name="CARRAIL_단면2차_X" localSheetId="4">#REF!</definedName>
    <definedName name="CARRAIL_단면2차_X" localSheetId="5">#REF!</definedName>
    <definedName name="CARRAIL_단면2차_X">#REF!</definedName>
    <definedName name="CARRAIL_단면2차_Y" localSheetId="0">#REF!</definedName>
    <definedName name="CARRAIL_단면2차_Y" localSheetId="4">#REF!</definedName>
    <definedName name="CARRAIL_단면2차_Y" localSheetId="5">#REF!</definedName>
    <definedName name="CARRAIL_단면2차_Y">#REF!</definedName>
    <definedName name="CARRAIL_단면계수_X" localSheetId="0">#REF!</definedName>
    <definedName name="CARRAIL_단면계수_X" localSheetId="4">#REF!</definedName>
    <definedName name="CARRAIL_단면계수_X" localSheetId="5">#REF!</definedName>
    <definedName name="CARRAIL_단면계수_X">#REF!</definedName>
    <definedName name="CARRAIL_단면계수_Y" localSheetId="0">#REF!</definedName>
    <definedName name="CARRAIL_단면계수_Y" localSheetId="4">#REF!</definedName>
    <definedName name="CARRAIL_단면계수_Y" localSheetId="5">#REF!</definedName>
    <definedName name="CARRAIL_단면계수_Y">#REF!</definedName>
    <definedName name="CH" localSheetId="0">#REF!</definedName>
    <definedName name="CH" localSheetId="4">#REF!</definedName>
    <definedName name="CH" localSheetId="5">#REF!</definedName>
    <definedName name="CH">#REF!</definedName>
    <definedName name="COMPEN자중" localSheetId="0">#REF!</definedName>
    <definedName name="COMPEN자중" localSheetId="4">#REF!</definedName>
    <definedName name="COMPEN자중" localSheetId="5">#REF!</definedName>
    <definedName name="COMPEN자중">#REF!</definedName>
    <definedName name="CWT_BG" localSheetId="0">#REF!</definedName>
    <definedName name="CWT_BG" localSheetId="4">#REF!</definedName>
    <definedName name="CWT_BG" localSheetId="5">#REF!</definedName>
    <definedName name="CWT_BG">#REF!</definedName>
    <definedName name="CWT_RAIL" localSheetId="0">#REF!</definedName>
    <definedName name="CWT_RAIL" localSheetId="4">#REF!</definedName>
    <definedName name="CWT_RAIL" localSheetId="5">#REF!</definedName>
    <definedName name="CWT_RAIL">#REF!</definedName>
    <definedName name="CWT_WD" localSheetId="0">#REF!</definedName>
    <definedName name="CWT_WD" localSheetId="4">#REF!</definedName>
    <definedName name="CWT_WD" localSheetId="5">#REF!</definedName>
    <definedName name="CWT_WD">#REF!</definedName>
    <definedName name="CWT_슈간격" localSheetId="0">#REF!</definedName>
    <definedName name="CWT_슈간격" localSheetId="4">#REF!</definedName>
    <definedName name="CWT_슈간격" localSheetId="5">#REF!</definedName>
    <definedName name="CWT_슈간격">#REF!</definedName>
    <definedName name="CWTRAIL_A" localSheetId="0">#REF!</definedName>
    <definedName name="CWTRAIL_A" localSheetId="4">#REF!</definedName>
    <definedName name="CWTRAIL_A" localSheetId="5">#REF!</definedName>
    <definedName name="CWTRAIL_A">#REF!</definedName>
    <definedName name="CWTRAIL_단면2차_X" localSheetId="0">#REF!</definedName>
    <definedName name="CWTRAIL_단면2차_X" localSheetId="4">#REF!</definedName>
    <definedName name="CWTRAIL_단면2차_X" localSheetId="5">#REF!</definedName>
    <definedName name="CWTRAIL_단면2차_X">#REF!</definedName>
    <definedName name="CWTRAIL_단면2차_Y" localSheetId="0">#REF!</definedName>
    <definedName name="CWTRAIL_단면2차_Y" localSheetId="4">#REF!</definedName>
    <definedName name="CWTRAIL_단면2차_Y" localSheetId="5">#REF!</definedName>
    <definedName name="CWTRAIL_단면2차_Y">#REF!</definedName>
    <definedName name="CWTRAIL_단면계수_X" localSheetId="0">#REF!</definedName>
    <definedName name="CWTRAIL_단면계수_X" localSheetId="4">#REF!</definedName>
    <definedName name="CWTRAIL_단면계수_X" localSheetId="5">#REF!</definedName>
    <definedName name="CWTRAIL_단면계수_X">#REF!</definedName>
    <definedName name="CWTRAIL_단면계수_Y" localSheetId="0">#REF!</definedName>
    <definedName name="CWTRAIL_단면계수_Y" localSheetId="4">#REF!</definedName>
    <definedName name="CWTRAIL_단면계수_Y" localSheetId="5">#REF!</definedName>
    <definedName name="CWTRAIL_단면계수_Y">#REF!</definedName>
    <definedName name="EE" localSheetId="0">#REF!</definedName>
    <definedName name="EE" localSheetId="4">#REF!</definedName>
    <definedName name="EE" localSheetId="5">#REF!</definedName>
    <definedName name="EE">#REF!</definedName>
    <definedName name="FA" localSheetId="0">#REF!</definedName>
    <definedName name="FA" localSheetId="4">#REF!</definedName>
    <definedName name="FA" localSheetId="5">#REF!</definedName>
    <definedName name="FA">#REF!</definedName>
    <definedName name="HH" localSheetId="0">#REF!</definedName>
    <definedName name="HH" localSheetId="4">#REF!</definedName>
    <definedName name="HH" localSheetId="5">#REF!</definedName>
    <definedName name="HH">#REF!</definedName>
    <definedName name="JJ" localSheetId="0">#REF!</definedName>
    <definedName name="JJ" localSheetId="4">#REF!</definedName>
    <definedName name="JJ" localSheetId="5">#REF!</definedName>
    <definedName name="JJ">#REF!</definedName>
    <definedName name="KA" localSheetId="0">#REF!</definedName>
    <definedName name="KA" localSheetId="4">#REF!</definedName>
    <definedName name="KA" localSheetId="5">#REF!</definedName>
    <definedName name="KA">#REF!</definedName>
    <definedName name="MCOMP" localSheetId="0">#REF!</definedName>
    <definedName name="MCOMP" localSheetId="4">#REF!</definedName>
    <definedName name="MCOMP" localSheetId="5">#REF!</definedName>
    <definedName name="MCOMP">#REF!</definedName>
    <definedName name="MCRCAR최상층" localSheetId="0">#REF!</definedName>
    <definedName name="MCRCAR최상층" localSheetId="4">#REF!</definedName>
    <definedName name="MCRCAR최상층" localSheetId="5">#REF!</definedName>
    <definedName name="MCRCAR최상층">#REF!</definedName>
    <definedName name="MCRCAR최하층" localSheetId="0">#REF!</definedName>
    <definedName name="MCRCAR최하층" localSheetId="4">#REF!</definedName>
    <definedName name="MCRCAR최하층" localSheetId="5">#REF!</definedName>
    <definedName name="MCRCAR최하층">#REF!</definedName>
    <definedName name="MCRCWT최상층" localSheetId="0">#REF!</definedName>
    <definedName name="MCRCWT최상층" localSheetId="4">#REF!</definedName>
    <definedName name="MCRCWT최상층" localSheetId="5">#REF!</definedName>
    <definedName name="MCRCWT최상층">#REF!</definedName>
    <definedName name="MCRCWT최하층" localSheetId="0">#REF!</definedName>
    <definedName name="MCRCWT최하층" localSheetId="4">#REF!</definedName>
    <definedName name="MCRCWT최하층" localSheetId="5">#REF!</definedName>
    <definedName name="MCRCWT최하층">#REF!</definedName>
    <definedName name="MCWT" localSheetId="0">#REF!</definedName>
    <definedName name="MCWT" localSheetId="4">#REF!</definedName>
    <definedName name="MCWT" localSheetId="5">#REF!</definedName>
    <definedName name="MCWT">#REF!</definedName>
    <definedName name="MSRCAR최상층" localSheetId="0">#REF!</definedName>
    <definedName name="MSRCAR최상층" localSheetId="4">#REF!</definedName>
    <definedName name="MSRCAR최상층" localSheetId="5">#REF!</definedName>
    <definedName name="MSRCAR최상층">#REF!</definedName>
    <definedName name="MSRCAR최하층" localSheetId="0">#REF!</definedName>
    <definedName name="MSRCAR최하층" localSheetId="4">#REF!</definedName>
    <definedName name="MSRCAR최하층" localSheetId="5">#REF!</definedName>
    <definedName name="MSRCAR최하층">#REF!</definedName>
    <definedName name="MSRCWT최상층" localSheetId="0">#REF!</definedName>
    <definedName name="MSRCWT최상층" localSheetId="4">#REF!</definedName>
    <definedName name="MSRCWT최상층" localSheetId="5">#REF!</definedName>
    <definedName name="MSRCWT최상층">#REF!</definedName>
    <definedName name="MSRCWT최하층" localSheetId="0">#REF!</definedName>
    <definedName name="MSRCWT최하층" localSheetId="4">#REF!</definedName>
    <definedName name="MSRCWT최하층" localSheetId="5">#REF!</definedName>
    <definedName name="MSRCWT최하층">#REF!</definedName>
    <definedName name="MTRAV최상층" localSheetId="0">#REF!</definedName>
    <definedName name="MTRAV최상층" localSheetId="4">#REF!</definedName>
    <definedName name="MTRAV최상층" localSheetId="5">#REF!</definedName>
    <definedName name="MTRAV최상층">#REF!</definedName>
    <definedName name="MTRAV최하층" localSheetId="0">#REF!</definedName>
    <definedName name="MTRAV최하층" localSheetId="4">#REF!</definedName>
    <definedName name="MTRAV최하층" localSheetId="5">#REF!</definedName>
    <definedName name="MTRAV최하층">#REF!</definedName>
    <definedName name="OH" localSheetId="0">#REF!</definedName>
    <definedName name="OH" localSheetId="4">#REF!</definedName>
    <definedName name="OH" localSheetId="5">#REF!</definedName>
    <definedName name="OH">#REF!</definedName>
    <definedName name="OH_CH" localSheetId="0">'[1]WIRE ROPE 길이계산'!$C$11</definedName>
    <definedName name="OH_CH">'[1]WIRE ROPE 길이계산'!$C$11</definedName>
    <definedName name="OPEN" localSheetId="0">#REF!</definedName>
    <definedName name="OPEN" localSheetId="4">#REF!</definedName>
    <definedName name="OPEN" localSheetId="5">#REF!</definedName>
    <definedName name="OPEN">#REF!</definedName>
    <definedName name="PIT" localSheetId="0">#REF!</definedName>
    <definedName name="PIT" localSheetId="4">#REF!</definedName>
    <definedName name="PIT" localSheetId="5">#REF!</definedName>
    <definedName name="PIT">#REF!</definedName>
    <definedName name="_xlnm.Print_Area" localSheetId="0">'SE 견적서'!$A$1:$J$58</definedName>
    <definedName name="_xlnm.Print_Area" localSheetId="1">'사양 입력'!$A$1:$K$16</definedName>
    <definedName name="QQ" localSheetId="0">#REF!</definedName>
    <definedName name="QQ" localSheetId="4">#REF!</definedName>
    <definedName name="QQ" localSheetId="5">#REF!</definedName>
    <definedName name="QQ">#REF!</definedName>
    <definedName name="QQT" localSheetId="0">#REF!</definedName>
    <definedName name="QQT" localSheetId="4">#REF!</definedName>
    <definedName name="QQT" localSheetId="5">#REF!</definedName>
    <definedName name="QQT">#REF!</definedName>
    <definedName name="QQW" localSheetId="0">#REF!</definedName>
    <definedName name="QQW" localSheetId="4">#REF!</definedName>
    <definedName name="QQW" localSheetId="5">#REF!</definedName>
    <definedName name="QQW">#REF!</definedName>
    <definedName name="QQY" localSheetId="0">#REF!</definedName>
    <definedName name="QQY" localSheetId="4">#REF!</definedName>
    <definedName name="QQY" localSheetId="5">#REF!</definedName>
    <definedName name="QQY">#REF!</definedName>
    <definedName name="QR" localSheetId="0">#REF!</definedName>
    <definedName name="QR" localSheetId="4">#REF!</definedName>
    <definedName name="QR" localSheetId="5">#REF!</definedName>
    <definedName name="QR">#REF!</definedName>
    <definedName name="QWER" localSheetId="0">#REF!</definedName>
    <definedName name="QWER" localSheetId="4">#REF!</definedName>
    <definedName name="QWER" localSheetId="5">#REF!</definedName>
    <definedName name="QWER">#REF!</definedName>
    <definedName name="ROPE" localSheetId="0">#REF!</definedName>
    <definedName name="ROPE" localSheetId="4">#REF!</definedName>
    <definedName name="ROPE" localSheetId="5">#REF!</definedName>
    <definedName name="ROPE">#REF!</definedName>
    <definedName name="ROPE_D" localSheetId="0">#REF!</definedName>
    <definedName name="ROPE_D" localSheetId="4">#REF!</definedName>
    <definedName name="ROPE_D" localSheetId="5">#REF!</definedName>
    <definedName name="ROPE_D">#REF!</definedName>
    <definedName name="ROPE_T" localSheetId="0">#REF!</definedName>
    <definedName name="ROPE_T" localSheetId="4">#REF!</definedName>
    <definedName name="ROPE_T" localSheetId="5">#REF!</definedName>
    <definedName name="ROPE_T">#REF!</definedName>
    <definedName name="ROPE_단위중량" localSheetId="0">#REF!</definedName>
    <definedName name="ROPE_단위중량" localSheetId="4">#REF!</definedName>
    <definedName name="ROPE_단위중량" localSheetId="5">#REF!</definedName>
    <definedName name="ROPE_단위중량">#REF!</definedName>
    <definedName name="TH" localSheetId="0">#REF!</definedName>
    <definedName name="TH" localSheetId="4">#REF!</definedName>
    <definedName name="TH" localSheetId="5">#REF!</definedName>
    <definedName name="TH">#REF!</definedName>
    <definedName name="TM" localSheetId="0">#REF!</definedName>
    <definedName name="TM" localSheetId="4">#REF!</definedName>
    <definedName name="TM" localSheetId="5">#REF!</definedName>
    <definedName name="TM">#REF!</definedName>
    <definedName name="TM자중" localSheetId="0">#REF!</definedName>
    <definedName name="TM자중" localSheetId="4">#REF!</definedName>
    <definedName name="TM자중" localSheetId="5">#REF!</definedName>
    <definedName name="TM자중">#REF!</definedName>
    <definedName name="TR" localSheetId="0">#REF!</definedName>
    <definedName name="TR" localSheetId="4">#REF!</definedName>
    <definedName name="TR" localSheetId="5">#REF!</definedName>
    <definedName name="TR">#REF!</definedName>
    <definedName name="UA" localSheetId="0">#REF!</definedName>
    <definedName name="UA" localSheetId="4">#REF!</definedName>
    <definedName name="UA" localSheetId="5">#REF!</definedName>
    <definedName name="UA">#REF!</definedName>
    <definedName name="UL" localSheetId="0">#REF!</definedName>
    <definedName name="UL" localSheetId="4">#REF!</definedName>
    <definedName name="UL" localSheetId="5">#REF!</definedName>
    <definedName name="UL">#REF!</definedName>
    <definedName name="UURR" localSheetId="0">#REF!</definedName>
    <definedName name="UURR" localSheetId="4">#REF!</definedName>
    <definedName name="UURR" localSheetId="5">#REF!</definedName>
    <definedName name="UURR">#REF!</definedName>
    <definedName name="UUT" localSheetId="0">#REF!</definedName>
    <definedName name="UUT" localSheetId="4">#REF!</definedName>
    <definedName name="UUT" localSheetId="5">#REF!</definedName>
    <definedName name="UUT">#REF!</definedName>
    <definedName name="UUU" localSheetId="0">#REF!</definedName>
    <definedName name="UUU" localSheetId="4">#REF!</definedName>
    <definedName name="UUU" localSheetId="5">#REF!</definedName>
    <definedName name="UUU">#REF!</definedName>
    <definedName name="UUY" localSheetId="0">#REF!</definedName>
    <definedName name="UUY" localSheetId="4">#REF!</definedName>
    <definedName name="UUY" localSheetId="5">#REF!</definedName>
    <definedName name="UUY">#REF!</definedName>
    <definedName name="WTR" localSheetId="0">#REF!</definedName>
    <definedName name="WTR" localSheetId="4">#REF!</definedName>
    <definedName name="WTR" localSheetId="5">#REF!</definedName>
    <definedName name="WTR">#REF!</definedName>
    <definedName name="WWT" localSheetId="0">#REF!</definedName>
    <definedName name="WWT" localSheetId="4">#REF!</definedName>
    <definedName name="WWT" localSheetId="5">#REF!</definedName>
    <definedName name="WWT">#REF!</definedName>
    <definedName name="WWY" localSheetId="0">#REF!</definedName>
    <definedName name="WWY" localSheetId="4">#REF!</definedName>
    <definedName name="WWY" localSheetId="5">#REF!</definedName>
    <definedName name="WWY">#REF!</definedName>
    <definedName name="ZDFV" localSheetId="0">#REF!</definedName>
    <definedName name="ZDFV" localSheetId="4">#REF!</definedName>
    <definedName name="ZDFV" localSheetId="5">#REF!</definedName>
    <definedName name="ZDFV">#REF!</definedName>
    <definedName name="ZZ" localSheetId="0">#REF!</definedName>
    <definedName name="ZZ" localSheetId="4">#REF!</definedName>
    <definedName name="ZZ" localSheetId="5">#REF!</definedName>
    <definedName name="ZZ">#REF!</definedName>
    <definedName name="ZZA" localSheetId="0">#REF!</definedName>
    <definedName name="ZZA" localSheetId="4">#REF!</definedName>
    <definedName name="ZZA" localSheetId="5">#REF!</definedName>
    <definedName name="ZZA">#REF!</definedName>
    <definedName name="ZZB" localSheetId="0">#REF!</definedName>
    <definedName name="ZZB" localSheetId="4">#REF!</definedName>
    <definedName name="ZZB" localSheetId="5">#REF!</definedName>
    <definedName name="ZZB">#REF!</definedName>
    <definedName name="ZZC" localSheetId="0">#REF!</definedName>
    <definedName name="ZZC" localSheetId="4">#REF!</definedName>
    <definedName name="ZZC" localSheetId="5">#REF!</definedName>
    <definedName name="ZZC">#REF!</definedName>
    <definedName name="ZZD" localSheetId="0">#REF!</definedName>
    <definedName name="ZZD" localSheetId="4">#REF!</definedName>
    <definedName name="ZZD" localSheetId="5">#REF!</definedName>
    <definedName name="ZZD">#REF!</definedName>
    <definedName name="ZZE" localSheetId="0">#REF!</definedName>
    <definedName name="ZZE" localSheetId="4">#REF!</definedName>
    <definedName name="ZZE" localSheetId="5">#REF!</definedName>
    <definedName name="ZZE">#REF!</definedName>
    <definedName name="ZZQ" localSheetId="0">#REF!</definedName>
    <definedName name="ZZQ" localSheetId="4">#REF!</definedName>
    <definedName name="ZZQ" localSheetId="5">#REF!</definedName>
    <definedName name="ZZQ">#REF!</definedName>
    <definedName name="ZZR" localSheetId="0">#REF!</definedName>
    <definedName name="ZZR" localSheetId="4">#REF!</definedName>
    <definedName name="ZZR" localSheetId="5">#REF!</definedName>
    <definedName name="ZZR">#REF!</definedName>
    <definedName name="ZZT" localSheetId="0">#REF!</definedName>
    <definedName name="ZZT" localSheetId="4">#REF!</definedName>
    <definedName name="ZZT" localSheetId="5">#REF!</definedName>
    <definedName name="ZZT">#REF!</definedName>
    <definedName name="ZZY" localSheetId="0">#REF!</definedName>
    <definedName name="ZZY" localSheetId="4">#REF!</definedName>
    <definedName name="ZZY" localSheetId="5">#REF!</definedName>
    <definedName name="ZZY">#REF!</definedName>
    <definedName name="ZZZ" localSheetId="0">#REF!</definedName>
    <definedName name="ZZZ" localSheetId="4">#REF!</definedName>
    <definedName name="ZZZ" localSheetId="5">#REF!</definedName>
    <definedName name="ZZZ">#REF!</definedName>
    <definedName name="ZZZZ" localSheetId="0">#REF!</definedName>
    <definedName name="ZZZZ" localSheetId="4">#REF!</definedName>
    <definedName name="ZZZZ" localSheetId="5">#REF!</definedName>
    <definedName name="ZZZZ">#REF!</definedName>
    <definedName name="ZZZZZ" localSheetId="0">#REF!</definedName>
    <definedName name="ZZZZZ" localSheetId="4">#REF!</definedName>
    <definedName name="ZZZZZ" localSheetId="5">#REF!</definedName>
    <definedName name="ZZZZZ">#REF!</definedName>
    <definedName name="감마" localSheetId="0">#REF!</definedName>
    <definedName name="감마" localSheetId="4">#REF!</definedName>
    <definedName name="감마" localSheetId="5">#REF!</definedName>
    <definedName name="감마">#REF!</definedName>
    <definedName name="감마라디안" localSheetId="0">#REF!</definedName>
    <definedName name="감마라디안" localSheetId="4">#REF!</definedName>
    <definedName name="감마라디안" localSheetId="5">#REF!</definedName>
    <definedName name="감마라디안">#REF!</definedName>
    <definedName name="권부각" localSheetId="0">#REF!</definedName>
    <definedName name="권부각" localSheetId="4">#REF!</definedName>
    <definedName name="권부각" localSheetId="5">#REF!</definedName>
    <definedName name="권부각">#REF!</definedName>
    <definedName name="권상능력125" localSheetId="0">#REF!</definedName>
    <definedName name="권상능력125" localSheetId="4">#REF!</definedName>
    <definedName name="권상능력125" localSheetId="5">#REF!</definedName>
    <definedName name="권상능력125">#REF!</definedName>
    <definedName name="권상능력구속" localSheetId="0">#REF!</definedName>
    <definedName name="권상능력구속" localSheetId="4">#REF!</definedName>
    <definedName name="권상능력구속" localSheetId="5">#REF!</definedName>
    <definedName name="권상능력구속">#REF!</definedName>
    <definedName name="권상능력비상" localSheetId="0">#REF!</definedName>
    <definedName name="권상능력비상" localSheetId="4">#REF!</definedName>
    <definedName name="권상능력비상" localSheetId="5">#REF!</definedName>
    <definedName name="권상능력비상">#REF!</definedName>
    <definedName name="ㄷ" localSheetId="0">#REF!</definedName>
    <definedName name="ㄷ" localSheetId="4">#REF!</definedName>
    <definedName name="ㄷ" localSheetId="5">#REF!</definedName>
    <definedName name="ㄷ">#REF!</definedName>
    <definedName name="담당자" localSheetId="0">#REF!</definedName>
    <definedName name="담당자" localSheetId="4">#REF!</definedName>
    <definedName name="담당자" localSheetId="5">#REF!</definedName>
    <definedName name="담당자">#REF!</definedName>
    <definedName name="레일내힘" localSheetId="0">#REF!</definedName>
    <definedName name="레일내힘" localSheetId="4">#REF!</definedName>
    <definedName name="레일내힘" localSheetId="5">#REF!</definedName>
    <definedName name="레일내힘">#REF!</definedName>
    <definedName name="레일브라켓간거리" localSheetId="0">#REF!</definedName>
    <definedName name="레일브라켓간거리" localSheetId="4">#REF!</definedName>
    <definedName name="레일브라켓간거리" localSheetId="5">#REF!</definedName>
    <definedName name="레일브라켓간거리">#REF!</definedName>
    <definedName name="레일수량" localSheetId="0">#REF!</definedName>
    <definedName name="레일수량" localSheetId="4">#REF!</definedName>
    <definedName name="레일수량" localSheetId="5">#REF!</definedName>
    <definedName name="레일수량">#REF!</definedName>
    <definedName name="로핑계수" localSheetId="0">#REF!</definedName>
    <definedName name="로핑계수" localSheetId="4">#REF!</definedName>
    <definedName name="로핑계수" localSheetId="5">#REF!</definedName>
    <definedName name="로핑계수">#REF!</definedName>
    <definedName name="ㅁ" localSheetId="0">#REF!</definedName>
    <definedName name="ㅁ" localSheetId="4">#REF!</definedName>
    <definedName name="ㅁ" localSheetId="5">#REF!</definedName>
    <definedName name="ㅁ">#REF!</definedName>
    <definedName name="모터용량" localSheetId="0">#REF!</definedName>
    <definedName name="모터용량" localSheetId="4">#REF!</definedName>
    <definedName name="모터용량" localSheetId="5">#REF!</definedName>
    <definedName name="모터용량">#REF!</definedName>
    <definedName name="베타" localSheetId="0">#REF!</definedName>
    <definedName name="베타" localSheetId="4">#REF!</definedName>
    <definedName name="베타" localSheetId="5">#REF!</definedName>
    <definedName name="베타">#REF!</definedName>
    <definedName name="베타라디안" localSheetId="0">#REF!</definedName>
    <definedName name="베타라디안" localSheetId="4">#REF!</definedName>
    <definedName name="베타라디안" localSheetId="5">#REF!</definedName>
    <definedName name="베타라디안">#REF!</definedName>
    <definedName name="사양" localSheetId="0">#REF!</definedName>
    <definedName name="사양" localSheetId="4">#REF!</definedName>
    <definedName name="사양" localSheetId="5">#REF!</definedName>
    <definedName name="사양">#REF!</definedName>
    <definedName name="속도" localSheetId="0">#REF!</definedName>
    <definedName name="속도" localSheetId="4">#REF!</definedName>
    <definedName name="속도" localSheetId="5">#REF!</definedName>
    <definedName name="속도">#REF!</definedName>
    <definedName name="용도" localSheetId="0">#REF!</definedName>
    <definedName name="용도" localSheetId="4">#REF!</definedName>
    <definedName name="용도" localSheetId="5">#REF!</definedName>
    <definedName name="용도">#REF!</definedName>
    <definedName name="적재용량" localSheetId="0">#REF!</definedName>
    <definedName name="적재용량" localSheetId="4">#REF!</definedName>
    <definedName name="적재용량" localSheetId="5">#REF!</definedName>
    <definedName name="적재용량">#REF!</definedName>
    <definedName name="제동감속도" localSheetId="0">#REF!</definedName>
    <definedName name="제동감속도" localSheetId="4">#REF!</definedName>
    <definedName name="제동감속도" localSheetId="5">#REF!</definedName>
    <definedName name="제동감속도">#REF!</definedName>
    <definedName name="중력가속도" localSheetId="0">#REF!</definedName>
    <definedName name="중력가속도" localSheetId="4">#REF!</definedName>
    <definedName name="중력가속도" localSheetId="5">#REF!</definedName>
    <definedName name="중력가속도">#REF!</definedName>
    <definedName name="층수" localSheetId="0">#REF!</definedName>
    <definedName name="층수" localSheetId="4">#REF!</definedName>
    <definedName name="층수" localSheetId="5">#REF!</definedName>
    <definedName name="층수">#REF!</definedName>
    <definedName name="카자중" localSheetId="0">#REF!</definedName>
    <definedName name="카자중" localSheetId="4">#REF!</definedName>
    <definedName name="카자중" localSheetId="5">#REF!</definedName>
    <definedName name="카자중">#REF!</definedName>
    <definedName name="케이1" localSheetId="0">#REF!</definedName>
    <definedName name="케이1" localSheetId="4">#REF!</definedName>
    <definedName name="케이1" localSheetId="5">#REF!</definedName>
    <definedName name="케이1">#REF!</definedName>
    <definedName name="케이2" localSheetId="0">#REF!</definedName>
    <definedName name="케이2" localSheetId="4">#REF!</definedName>
    <definedName name="케이2" localSheetId="5">#REF!</definedName>
    <definedName name="케이2">#REF!</definedName>
    <definedName name="케이3" localSheetId="0">#REF!</definedName>
    <definedName name="케이3" localSheetId="4">#REF!</definedName>
    <definedName name="케이3" localSheetId="5">#REF!</definedName>
    <definedName name="케이3">#REF!</definedName>
    <definedName name="탄성계수" localSheetId="0">#REF!</definedName>
    <definedName name="탄성계수" localSheetId="4">#REF!</definedName>
    <definedName name="탄성계수" localSheetId="5">#REF!</definedName>
    <definedName name="탄성계수">#REF!</definedName>
    <definedName name="허용면적" localSheetId="0">#REF!</definedName>
    <definedName name="허용면적" localSheetId="4">#REF!</definedName>
    <definedName name="허용면적" localSheetId="5">#REF!</definedName>
    <definedName name="허용면적">#REF!</definedName>
    <definedName name="호기명" localSheetId="0">#REF!</definedName>
    <definedName name="호기명" localSheetId="4">#REF!</definedName>
    <definedName name="호기명" localSheetId="5">#REF!</definedName>
    <definedName name="호기명">#REF!</definedName>
    <definedName name="호기번호" localSheetId="0">#REF!</definedName>
    <definedName name="호기번호" localSheetId="4">#REF!</definedName>
    <definedName name="호기번호" localSheetId="5">#REF!</definedName>
    <definedName name="호기번호">#REF!</definedName>
    <definedName name="환기구유효" localSheetId="0">#REF!</definedName>
    <definedName name="환기구유효" localSheetId="4">#REF!</definedName>
    <definedName name="환기구유효" localSheetId="5">#REF!</definedName>
    <definedName name="환기구유효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7" l="1"/>
  <c r="J6" i="17"/>
  <c r="H12" i="1"/>
  <c r="O106" i="18"/>
  <c r="O109" i="18"/>
  <c r="O108" i="18"/>
  <c r="O107" i="18"/>
  <c r="O105" i="18"/>
  <c r="O104" i="18"/>
  <c r="M730" i="16" l="1"/>
  <c r="N730" i="16" s="1"/>
  <c r="M729" i="16"/>
  <c r="N729" i="16" s="1"/>
  <c r="M728" i="16"/>
  <c r="N728" i="16" s="1"/>
  <c r="L728" i="16"/>
  <c r="L727" i="16"/>
  <c r="M727" i="16" s="1"/>
  <c r="N727" i="16" s="1"/>
  <c r="L726" i="16"/>
  <c r="M726" i="16" s="1"/>
  <c r="N726" i="16" s="1"/>
  <c r="M725" i="16"/>
  <c r="N725" i="16" s="1"/>
  <c r="L725" i="16"/>
  <c r="L724" i="16"/>
  <c r="M724" i="16" s="1"/>
  <c r="N724" i="16" s="1"/>
  <c r="L723" i="16"/>
  <c r="M723" i="16" s="1"/>
  <c r="N723" i="16" s="1"/>
  <c r="M722" i="16"/>
  <c r="N722" i="16" s="1"/>
  <c r="L722" i="16"/>
  <c r="M721" i="16"/>
  <c r="N721" i="16" s="1"/>
  <c r="L721" i="16"/>
  <c r="M720" i="16"/>
  <c r="N720" i="16" s="1"/>
  <c r="L720" i="16"/>
  <c r="L719" i="16"/>
  <c r="M719" i="16" s="1"/>
  <c r="N719" i="16" s="1"/>
  <c r="L718" i="16"/>
  <c r="M718" i="16" s="1"/>
  <c r="N718" i="16" s="1"/>
  <c r="L717" i="16"/>
  <c r="M717" i="16" s="1"/>
  <c r="N717" i="16" s="1"/>
  <c r="L716" i="16"/>
  <c r="M716" i="16" s="1"/>
  <c r="N716" i="16" s="1"/>
  <c r="L715" i="16"/>
  <c r="M715" i="16" s="1"/>
  <c r="N715" i="16" s="1"/>
  <c r="M714" i="16"/>
  <c r="N714" i="16" s="1"/>
  <c r="L714" i="16"/>
  <c r="M713" i="16"/>
  <c r="N713" i="16" s="1"/>
  <c r="L713" i="16"/>
  <c r="M712" i="16"/>
  <c r="N712" i="16" s="1"/>
  <c r="L712" i="16"/>
  <c r="L711" i="16"/>
  <c r="M711" i="16" s="1"/>
  <c r="N711" i="16" s="1"/>
  <c r="L710" i="16"/>
  <c r="M710" i="16" s="1"/>
  <c r="N710" i="16" s="1"/>
  <c r="L709" i="16"/>
  <c r="M709" i="16" s="1"/>
  <c r="N709" i="16" s="1"/>
  <c r="L708" i="16"/>
  <c r="M708" i="16" s="1"/>
  <c r="N708" i="16" s="1"/>
  <c r="L707" i="16"/>
  <c r="M707" i="16" s="1"/>
  <c r="N707" i="16" s="1"/>
  <c r="M706" i="16"/>
  <c r="N706" i="16" s="1"/>
  <c r="L706" i="16"/>
  <c r="M705" i="16"/>
  <c r="N705" i="16" s="1"/>
  <c r="L705" i="16"/>
  <c r="M704" i="16"/>
  <c r="N704" i="16" s="1"/>
  <c r="L704" i="16"/>
  <c r="L703" i="16"/>
  <c r="M703" i="16" s="1"/>
  <c r="N703" i="16" s="1"/>
  <c r="L702" i="16"/>
  <c r="M702" i="16" s="1"/>
  <c r="N702" i="16" s="1"/>
  <c r="L701" i="16"/>
  <c r="M701" i="16" s="1"/>
  <c r="N701" i="16" s="1"/>
  <c r="L700" i="16"/>
  <c r="M700" i="16" s="1"/>
  <c r="N700" i="16" s="1"/>
  <c r="L699" i="16"/>
  <c r="M699" i="16" s="1"/>
  <c r="N699" i="16" s="1"/>
  <c r="M698" i="16"/>
  <c r="N698" i="16" s="1"/>
  <c r="L698" i="16"/>
  <c r="M697" i="16"/>
  <c r="N697" i="16" s="1"/>
  <c r="L697" i="16"/>
  <c r="M696" i="16"/>
  <c r="N696" i="16" s="1"/>
  <c r="L696" i="16"/>
  <c r="L695" i="16"/>
  <c r="M695" i="16" s="1"/>
  <c r="N695" i="16" s="1"/>
  <c r="L694" i="16"/>
  <c r="M694" i="16" s="1"/>
  <c r="N694" i="16" s="1"/>
  <c r="N693" i="16"/>
  <c r="L693" i="16"/>
  <c r="M693" i="16" s="1"/>
  <c r="L692" i="16"/>
  <c r="M692" i="16" s="1"/>
  <c r="N692" i="16" s="1"/>
  <c r="L691" i="16"/>
  <c r="M691" i="16" s="1"/>
  <c r="N691" i="16" s="1"/>
  <c r="M690" i="16"/>
  <c r="N690" i="16" s="1"/>
  <c r="L690" i="16"/>
  <c r="M689" i="16"/>
  <c r="N689" i="16" s="1"/>
  <c r="L689" i="16"/>
  <c r="M688" i="16"/>
  <c r="N688" i="16" s="1"/>
  <c r="L688" i="16"/>
  <c r="L687" i="16"/>
  <c r="M687" i="16" s="1"/>
  <c r="N687" i="16" s="1"/>
  <c r="L686" i="16"/>
  <c r="M686" i="16" s="1"/>
  <c r="N686" i="16" s="1"/>
  <c r="N685" i="16"/>
  <c r="L685" i="16"/>
  <c r="M685" i="16" s="1"/>
  <c r="L684" i="16"/>
  <c r="M684" i="16" s="1"/>
  <c r="N684" i="16" s="1"/>
  <c r="L683" i="16"/>
  <c r="M683" i="16" s="1"/>
  <c r="N683" i="16" s="1"/>
  <c r="M682" i="16"/>
  <c r="N682" i="16" s="1"/>
  <c r="L682" i="16"/>
  <c r="M681" i="16"/>
  <c r="N681" i="16" s="1"/>
  <c r="L681" i="16"/>
  <c r="M680" i="16"/>
  <c r="N680" i="16" s="1"/>
  <c r="L680" i="16"/>
  <c r="L679" i="16"/>
  <c r="M679" i="16" s="1"/>
  <c r="N679" i="16" s="1"/>
  <c r="M678" i="16"/>
  <c r="N678" i="16" s="1"/>
  <c r="L678" i="16"/>
  <c r="L677" i="16"/>
  <c r="M677" i="16" s="1"/>
  <c r="N677" i="16" s="1"/>
  <c r="L676" i="16"/>
  <c r="M676" i="16" s="1"/>
  <c r="N676" i="16" s="1"/>
  <c r="L675" i="16"/>
  <c r="M675" i="16" s="1"/>
  <c r="N675" i="16" s="1"/>
  <c r="M674" i="16"/>
  <c r="N674" i="16" s="1"/>
  <c r="L674" i="16"/>
  <c r="M673" i="16"/>
  <c r="N673" i="16" s="1"/>
  <c r="L673" i="16"/>
  <c r="M672" i="16"/>
  <c r="N672" i="16" s="1"/>
  <c r="M671" i="16"/>
  <c r="N671" i="16" s="1"/>
  <c r="M670" i="16"/>
  <c r="N670" i="16" s="1"/>
  <c r="N669" i="16"/>
  <c r="M669" i="16"/>
  <c r="M668" i="16"/>
  <c r="N668" i="16" s="1"/>
  <c r="M667" i="16"/>
  <c r="N667" i="16" s="1"/>
  <c r="M666" i="16"/>
  <c r="N666" i="16" s="1"/>
  <c r="M665" i="16"/>
  <c r="N665" i="16" s="1"/>
  <c r="M664" i="16"/>
  <c r="N664" i="16" s="1"/>
  <c r="M663" i="16"/>
  <c r="N663" i="16" s="1"/>
  <c r="M662" i="16"/>
  <c r="N662" i="16" s="1"/>
  <c r="M661" i="16"/>
  <c r="N661" i="16" s="1"/>
  <c r="M660" i="16"/>
  <c r="N660" i="16" s="1"/>
  <c r="M659" i="16"/>
  <c r="N659" i="16" s="1"/>
  <c r="M658" i="16"/>
  <c r="N658" i="16" s="1"/>
  <c r="M657" i="16"/>
  <c r="N657" i="16" s="1"/>
  <c r="M656" i="16"/>
  <c r="N656" i="16" s="1"/>
  <c r="L656" i="16"/>
  <c r="L655" i="16"/>
  <c r="M655" i="16" s="1"/>
  <c r="N655" i="16" s="1"/>
  <c r="N654" i="16"/>
  <c r="M654" i="16"/>
  <c r="L654" i="16"/>
  <c r="L653" i="16"/>
  <c r="M653" i="16" s="1"/>
  <c r="N653" i="16" s="1"/>
  <c r="L652" i="16"/>
  <c r="M652" i="16" s="1"/>
  <c r="N652" i="16" s="1"/>
  <c r="L651" i="16"/>
  <c r="M651" i="16" s="1"/>
  <c r="N651" i="16" s="1"/>
  <c r="M650" i="16"/>
  <c r="N650" i="16" s="1"/>
  <c r="L650" i="16"/>
  <c r="M649" i="16"/>
  <c r="N649" i="16" s="1"/>
  <c r="L649" i="16"/>
  <c r="M648" i="16"/>
  <c r="N648" i="16" s="1"/>
  <c r="L648" i="16"/>
  <c r="L647" i="16"/>
  <c r="M647" i="16" s="1"/>
  <c r="N647" i="16" s="1"/>
  <c r="M646" i="16"/>
  <c r="N646" i="16" s="1"/>
  <c r="L646" i="16"/>
  <c r="L645" i="16"/>
  <c r="M645" i="16" s="1"/>
  <c r="N645" i="16" s="1"/>
  <c r="L644" i="16"/>
  <c r="M644" i="16" s="1"/>
  <c r="N644" i="16" s="1"/>
  <c r="L643" i="16"/>
  <c r="M643" i="16" s="1"/>
  <c r="N643" i="16" s="1"/>
  <c r="M642" i="16"/>
  <c r="N642" i="16" s="1"/>
  <c r="L642" i="16"/>
  <c r="M641" i="16"/>
  <c r="N641" i="16" s="1"/>
  <c r="L641" i="16"/>
  <c r="M640" i="16"/>
  <c r="N640" i="16" s="1"/>
  <c r="L640" i="16"/>
  <c r="L639" i="16"/>
  <c r="M639" i="16" s="1"/>
  <c r="N639" i="16" s="1"/>
  <c r="N638" i="16"/>
  <c r="M638" i="16"/>
  <c r="L638" i="16"/>
  <c r="L637" i="16"/>
  <c r="M637" i="16" s="1"/>
  <c r="N637" i="16" s="1"/>
  <c r="L636" i="16"/>
  <c r="M636" i="16" s="1"/>
  <c r="N636" i="16" s="1"/>
  <c r="L635" i="16"/>
  <c r="M635" i="16" s="1"/>
  <c r="N635" i="16" s="1"/>
  <c r="L634" i="16"/>
  <c r="M634" i="16" s="1"/>
  <c r="N634" i="16" s="1"/>
  <c r="M633" i="16"/>
  <c r="N633" i="16" s="1"/>
  <c r="L633" i="16"/>
  <c r="M632" i="16"/>
  <c r="N632" i="16" s="1"/>
  <c r="L632" i="16"/>
  <c r="L631" i="16"/>
  <c r="M631" i="16" s="1"/>
  <c r="N631" i="16" s="1"/>
  <c r="M630" i="16"/>
  <c r="N630" i="16" s="1"/>
  <c r="L630" i="16"/>
  <c r="L629" i="16"/>
  <c r="M629" i="16" s="1"/>
  <c r="N629" i="16" s="1"/>
  <c r="L628" i="16"/>
  <c r="M628" i="16" s="1"/>
  <c r="N628" i="16" s="1"/>
  <c r="L627" i="16"/>
  <c r="M627" i="16" s="1"/>
  <c r="N627" i="16" s="1"/>
  <c r="L626" i="16"/>
  <c r="M626" i="16" s="1"/>
  <c r="N626" i="16" s="1"/>
  <c r="M625" i="16"/>
  <c r="N625" i="16" s="1"/>
  <c r="L625" i="16"/>
  <c r="M624" i="16"/>
  <c r="N624" i="16" s="1"/>
  <c r="L624" i="16"/>
  <c r="L623" i="16"/>
  <c r="M623" i="16" s="1"/>
  <c r="N623" i="16" s="1"/>
  <c r="M622" i="16"/>
  <c r="N622" i="16" s="1"/>
  <c r="L622" i="16"/>
  <c r="L621" i="16"/>
  <c r="M621" i="16" s="1"/>
  <c r="N621" i="16" s="1"/>
  <c r="L620" i="16"/>
  <c r="M620" i="16" s="1"/>
  <c r="N620" i="16" s="1"/>
  <c r="L619" i="16"/>
  <c r="M619" i="16" s="1"/>
  <c r="N619" i="16" s="1"/>
  <c r="M618" i="16"/>
  <c r="N618" i="16" s="1"/>
  <c r="L618" i="16"/>
  <c r="M617" i="16"/>
  <c r="N617" i="16" s="1"/>
  <c r="L617" i="16"/>
  <c r="M616" i="16"/>
  <c r="N616" i="16" s="1"/>
  <c r="L616" i="16"/>
  <c r="L615" i="16"/>
  <c r="M615" i="16" s="1"/>
  <c r="N615" i="16" s="1"/>
  <c r="N614" i="16"/>
  <c r="M614" i="16"/>
  <c r="L614" i="16"/>
  <c r="N613" i="16"/>
  <c r="M613" i="16"/>
  <c r="L613" i="16"/>
  <c r="L612" i="16"/>
  <c r="M612" i="16" s="1"/>
  <c r="N612" i="16" s="1"/>
  <c r="L611" i="16"/>
  <c r="M611" i="16" s="1"/>
  <c r="N611" i="16" s="1"/>
  <c r="L610" i="16"/>
  <c r="M610" i="16" s="1"/>
  <c r="N610" i="16" s="1"/>
  <c r="M609" i="16"/>
  <c r="N609" i="16" s="1"/>
  <c r="L609" i="16"/>
  <c r="M608" i="16"/>
  <c r="N608" i="16" s="1"/>
  <c r="L608" i="16"/>
  <c r="L607" i="16"/>
  <c r="M607" i="16" s="1"/>
  <c r="N607" i="16" s="1"/>
  <c r="L606" i="16"/>
  <c r="M606" i="16" s="1"/>
  <c r="N606" i="16" s="1"/>
  <c r="L605" i="16"/>
  <c r="M605" i="16" s="1"/>
  <c r="N605" i="16" s="1"/>
  <c r="L604" i="16"/>
  <c r="M604" i="16" s="1"/>
  <c r="N604" i="16" s="1"/>
  <c r="L603" i="16"/>
  <c r="M603" i="16" s="1"/>
  <c r="N603" i="16" s="1"/>
  <c r="L602" i="16"/>
  <c r="M602" i="16" s="1"/>
  <c r="N602" i="16" s="1"/>
  <c r="M601" i="16"/>
  <c r="N601" i="16" s="1"/>
  <c r="L601" i="16"/>
  <c r="M600" i="16"/>
  <c r="N600" i="16" s="1"/>
  <c r="L600" i="16"/>
  <c r="L599" i="16"/>
  <c r="M599" i="16" s="1"/>
  <c r="N599" i="16" s="1"/>
  <c r="L598" i="16"/>
  <c r="M598" i="16" s="1"/>
  <c r="N598" i="16" s="1"/>
  <c r="L597" i="16"/>
  <c r="M597" i="16" s="1"/>
  <c r="N597" i="16" s="1"/>
  <c r="L596" i="16"/>
  <c r="M596" i="16" s="1"/>
  <c r="N596" i="16" s="1"/>
  <c r="L595" i="16"/>
  <c r="M595" i="16" s="1"/>
  <c r="N595" i="16" s="1"/>
  <c r="L594" i="16"/>
  <c r="M594" i="16" s="1"/>
  <c r="N594" i="16" s="1"/>
  <c r="M593" i="16"/>
  <c r="N593" i="16" s="1"/>
  <c r="L593" i="16"/>
  <c r="M592" i="16"/>
  <c r="N592" i="16" s="1"/>
  <c r="L592" i="16"/>
  <c r="L591" i="16"/>
  <c r="M591" i="16" s="1"/>
  <c r="N591" i="16" s="1"/>
  <c r="L590" i="16"/>
  <c r="M590" i="16" s="1"/>
  <c r="N590" i="16" s="1"/>
  <c r="L589" i="16"/>
  <c r="M589" i="16" s="1"/>
  <c r="N589" i="16" s="1"/>
  <c r="M588" i="16"/>
  <c r="N588" i="16" s="1"/>
  <c r="L588" i="16"/>
  <c r="L587" i="16"/>
  <c r="M587" i="16" s="1"/>
  <c r="N587" i="16" s="1"/>
  <c r="M586" i="16"/>
  <c r="N586" i="16" s="1"/>
  <c r="L586" i="16"/>
  <c r="M585" i="16"/>
  <c r="N585" i="16" s="1"/>
  <c r="L585" i="16"/>
  <c r="M584" i="16"/>
  <c r="N584" i="16" s="1"/>
  <c r="L584" i="16"/>
  <c r="L583" i="16"/>
  <c r="M583" i="16" s="1"/>
  <c r="N583" i="16" s="1"/>
  <c r="L582" i="16"/>
  <c r="M582" i="16" s="1"/>
  <c r="N582" i="16" s="1"/>
  <c r="L581" i="16"/>
  <c r="M581" i="16" s="1"/>
  <c r="N581" i="16" s="1"/>
  <c r="L580" i="16"/>
  <c r="M580" i="16" s="1"/>
  <c r="N580" i="16" s="1"/>
  <c r="L579" i="16"/>
  <c r="M579" i="16" s="1"/>
  <c r="N579" i="16" s="1"/>
  <c r="L578" i="16"/>
  <c r="M578" i="16" s="1"/>
  <c r="N578" i="16" s="1"/>
  <c r="L577" i="16"/>
  <c r="M577" i="16" s="1"/>
  <c r="N577" i="16" s="1"/>
  <c r="M576" i="16"/>
  <c r="N576" i="16" s="1"/>
  <c r="L576" i="16"/>
  <c r="M575" i="16"/>
  <c r="N575" i="16" s="1"/>
  <c r="L575" i="16"/>
  <c r="L574" i="16"/>
  <c r="M574" i="16" s="1"/>
  <c r="N574" i="16" s="1"/>
  <c r="L573" i="16"/>
  <c r="M573" i="16" s="1"/>
  <c r="N573" i="16" s="1"/>
  <c r="M572" i="16"/>
  <c r="N572" i="16" s="1"/>
  <c r="L572" i="16"/>
  <c r="L571" i="16"/>
  <c r="M571" i="16" s="1"/>
  <c r="N571" i="16" s="1"/>
  <c r="L570" i="16"/>
  <c r="M570" i="16" s="1"/>
  <c r="N570" i="16" s="1"/>
  <c r="M569" i="16"/>
  <c r="N569" i="16" s="1"/>
  <c r="L569" i="16"/>
  <c r="M568" i="16"/>
  <c r="N568" i="16" s="1"/>
  <c r="L568" i="16"/>
  <c r="L567" i="16"/>
  <c r="M567" i="16" s="1"/>
  <c r="N567" i="16" s="1"/>
  <c r="M566" i="16"/>
  <c r="N566" i="16" s="1"/>
  <c r="L566" i="16"/>
  <c r="L565" i="16"/>
  <c r="M565" i="16" s="1"/>
  <c r="N565" i="16" s="1"/>
  <c r="L564" i="16"/>
  <c r="M564" i="16" s="1"/>
  <c r="N564" i="16" s="1"/>
  <c r="N563" i="16"/>
  <c r="M563" i="16"/>
  <c r="L563" i="16"/>
  <c r="L562" i="16"/>
  <c r="M562" i="16" s="1"/>
  <c r="N562" i="16" s="1"/>
  <c r="L561" i="16"/>
  <c r="M561" i="16" s="1"/>
  <c r="N561" i="16" s="1"/>
  <c r="M560" i="16"/>
  <c r="N560" i="16" s="1"/>
  <c r="L560" i="16"/>
  <c r="M559" i="16"/>
  <c r="N559" i="16" s="1"/>
  <c r="L559" i="16"/>
  <c r="M558" i="16"/>
  <c r="N558" i="16" s="1"/>
  <c r="L558" i="16"/>
  <c r="L557" i="16"/>
  <c r="M557" i="16" s="1"/>
  <c r="N557" i="16" s="1"/>
  <c r="M556" i="16"/>
  <c r="N556" i="16" s="1"/>
  <c r="L556" i="16"/>
  <c r="M555" i="16"/>
  <c r="N555" i="16" s="1"/>
  <c r="L555" i="16"/>
  <c r="M554" i="16"/>
  <c r="N554" i="16" s="1"/>
  <c r="L554" i="16"/>
  <c r="M553" i="16"/>
  <c r="N553" i="16" s="1"/>
  <c r="L553" i="16"/>
  <c r="M552" i="16"/>
  <c r="N552" i="16" s="1"/>
  <c r="L552" i="16"/>
  <c r="L551" i="16"/>
  <c r="M551" i="16" s="1"/>
  <c r="N551" i="16" s="1"/>
  <c r="L550" i="16"/>
  <c r="M550" i="16" s="1"/>
  <c r="N550" i="16" s="1"/>
  <c r="N549" i="16"/>
  <c r="L549" i="16"/>
  <c r="M549" i="16" s="1"/>
  <c r="L548" i="16"/>
  <c r="M548" i="16" s="1"/>
  <c r="N548" i="16" s="1"/>
  <c r="L547" i="16"/>
  <c r="M547" i="16" s="1"/>
  <c r="N547" i="16" s="1"/>
  <c r="M546" i="16"/>
  <c r="N546" i="16" s="1"/>
  <c r="L546" i="16"/>
  <c r="L545" i="16"/>
  <c r="M545" i="16" s="1"/>
  <c r="N545" i="16" s="1"/>
  <c r="M544" i="16"/>
  <c r="N544" i="16" s="1"/>
  <c r="L544" i="16"/>
  <c r="M543" i="16"/>
  <c r="N543" i="16" s="1"/>
  <c r="L543" i="16"/>
  <c r="L542" i="16"/>
  <c r="M542" i="16" s="1"/>
  <c r="N542" i="16" s="1"/>
  <c r="L541" i="16"/>
  <c r="M541" i="16" s="1"/>
  <c r="N541" i="16" s="1"/>
  <c r="M540" i="16"/>
  <c r="N540" i="16" s="1"/>
  <c r="L540" i="16"/>
  <c r="L539" i="16"/>
  <c r="M539" i="16" s="1"/>
  <c r="N539" i="16" s="1"/>
  <c r="L538" i="16"/>
  <c r="M538" i="16" s="1"/>
  <c r="N538" i="16" s="1"/>
  <c r="N537" i="16"/>
  <c r="M537" i="16"/>
  <c r="L537" i="16"/>
  <c r="M536" i="16"/>
  <c r="N536" i="16" s="1"/>
  <c r="L536" i="16"/>
  <c r="L535" i="16"/>
  <c r="M535" i="16" s="1"/>
  <c r="N535" i="16" s="1"/>
  <c r="M534" i="16"/>
  <c r="N534" i="16" s="1"/>
  <c r="L534" i="16"/>
  <c r="L533" i="16"/>
  <c r="M533" i="16" s="1"/>
  <c r="N533" i="16" s="1"/>
  <c r="L532" i="16"/>
  <c r="M532" i="16" s="1"/>
  <c r="N532" i="16" s="1"/>
  <c r="N531" i="16"/>
  <c r="M531" i="16"/>
  <c r="L531" i="16"/>
  <c r="L530" i="16"/>
  <c r="M530" i="16" s="1"/>
  <c r="N530" i="16" s="1"/>
  <c r="L529" i="16"/>
  <c r="M529" i="16" s="1"/>
  <c r="N529" i="16" s="1"/>
  <c r="N528" i="16"/>
  <c r="M528" i="16"/>
  <c r="L528" i="16"/>
  <c r="M527" i="16"/>
  <c r="N527" i="16" s="1"/>
  <c r="L527" i="16"/>
  <c r="M526" i="16"/>
  <c r="N526" i="16" s="1"/>
  <c r="L526" i="16"/>
  <c r="L525" i="16"/>
  <c r="M525" i="16" s="1"/>
  <c r="N525" i="16" s="1"/>
  <c r="M524" i="16"/>
  <c r="N524" i="16" s="1"/>
  <c r="L524" i="16"/>
  <c r="M523" i="16"/>
  <c r="N523" i="16" s="1"/>
  <c r="L523" i="16"/>
  <c r="M522" i="16"/>
  <c r="N522" i="16" s="1"/>
  <c r="L522" i="16"/>
  <c r="M521" i="16"/>
  <c r="N521" i="16" s="1"/>
  <c r="L521" i="16"/>
  <c r="M520" i="16"/>
  <c r="N520" i="16" s="1"/>
  <c r="L520" i="16"/>
  <c r="L519" i="16"/>
  <c r="M519" i="16" s="1"/>
  <c r="N519" i="16" s="1"/>
  <c r="L518" i="16"/>
  <c r="M518" i="16" s="1"/>
  <c r="N518" i="16" s="1"/>
  <c r="L517" i="16"/>
  <c r="M517" i="16" s="1"/>
  <c r="N517" i="16" s="1"/>
  <c r="L516" i="16"/>
  <c r="M516" i="16" s="1"/>
  <c r="N516" i="16" s="1"/>
  <c r="L515" i="16"/>
  <c r="M515" i="16" s="1"/>
  <c r="N515" i="16" s="1"/>
  <c r="M514" i="16"/>
  <c r="N514" i="16" s="1"/>
  <c r="L514" i="16"/>
  <c r="L513" i="16"/>
  <c r="M513" i="16" s="1"/>
  <c r="N513" i="16" s="1"/>
  <c r="N512" i="16"/>
  <c r="M512" i="16"/>
  <c r="L512" i="16"/>
  <c r="M511" i="16"/>
  <c r="N511" i="16" s="1"/>
  <c r="L511" i="16"/>
  <c r="L510" i="16"/>
  <c r="M510" i="16" s="1"/>
  <c r="N510" i="16" s="1"/>
  <c r="L509" i="16"/>
  <c r="M509" i="16" s="1"/>
  <c r="N509" i="16" s="1"/>
  <c r="N508" i="16"/>
  <c r="M508" i="16"/>
  <c r="L508" i="16"/>
  <c r="L507" i="16"/>
  <c r="M507" i="16" s="1"/>
  <c r="N507" i="16" s="1"/>
  <c r="L506" i="16"/>
  <c r="M506" i="16" s="1"/>
  <c r="N506" i="16" s="1"/>
  <c r="M505" i="16"/>
  <c r="N505" i="16" s="1"/>
  <c r="L505" i="16"/>
  <c r="M504" i="16"/>
  <c r="N504" i="16" s="1"/>
  <c r="L504" i="16"/>
  <c r="L503" i="16"/>
  <c r="M503" i="16" s="1"/>
  <c r="N503" i="16" s="1"/>
  <c r="M502" i="16"/>
  <c r="N502" i="16" s="1"/>
  <c r="L502" i="16"/>
  <c r="L501" i="16"/>
  <c r="M501" i="16" s="1"/>
  <c r="N501" i="16" s="1"/>
  <c r="L500" i="16"/>
  <c r="M500" i="16" s="1"/>
  <c r="N500" i="16" s="1"/>
  <c r="N499" i="16"/>
  <c r="M499" i="16"/>
  <c r="L499" i="16"/>
  <c r="L498" i="16"/>
  <c r="M498" i="16" s="1"/>
  <c r="N498" i="16" s="1"/>
  <c r="L497" i="16"/>
  <c r="M497" i="16" s="1"/>
  <c r="N497" i="16" s="1"/>
  <c r="M496" i="16"/>
  <c r="N496" i="16" s="1"/>
  <c r="L496" i="16"/>
  <c r="M495" i="16"/>
  <c r="N495" i="16" s="1"/>
  <c r="L495" i="16"/>
  <c r="M494" i="16"/>
  <c r="N494" i="16" s="1"/>
  <c r="L494" i="16"/>
  <c r="N493" i="16"/>
  <c r="L493" i="16"/>
  <c r="M493" i="16" s="1"/>
  <c r="M492" i="16"/>
  <c r="N492" i="16" s="1"/>
  <c r="L492" i="16"/>
  <c r="M491" i="16"/>
  <c r="N491" i="16" s="1"/>
  <c r="L491" i="16"/>
  <c r="M490" i="16"/>
  <c r="N490" i="16" s="1"/>
  <c r="L490" i="16"/>
  <c r="M489" i="16"/>
  <c r="N489" i="16" s="1"/>
  <c r="L489" i="16"/>
  <c r="M488" i="16"/>
  <c r="N488" i="16" s="1"/>
  <c r="L488" i="16"/>
  <c r="L487" i="16"/>
  <c r="M487" i="16" s="1"/>
  <c r="N487" i="16" s="1"/>
  <c r="L486" i="16"/>
  <c r="M486" i="16" s="1"/>
  <c r="N486" i="16" s="1"/>
  <c r="L485" i="16"/>
  <c r="M485" i="16" s="1"/>
  <c r="N485" i="16" s="1"/>
  <c r="L484" i="16"/>
  <c r="M484" i="16" s="1"/>
  <c r="N484" i="16" s="1"/>
  <c r="L483" i="16"/>
  <c r="M483" i="16" s="1"/>
  <c r="N483" i="16" s="1"/>
  <c r="M482" i="16"/>
  <c r="N482" i="16" s="1"/>
  <c r="L482" i="16"/>
  <c r="L481" i="16"/>
  <c r="M481" i="16" s="1"/>
  <c r="N481" i="16" s="1"/>
  <c r="M480" i="16"/>
  <c r="N480" i="16" s="1"/>
  <c r="L480" i="16"/>
  <c r="N479" i="16"/>
  <c r="M479" i="16"/>
  <c r="L479" i="16"/>
  <c r="L478" i="16"/>
  <c r="M478" i="16" s="1"/>
  <c r="N478" i="16" s="1"/>
  <c r="L477" i="16"/>
  <c r="M477" i="16" s="1"/>
  <c r="N477" i="16" s="1"/>
  <c r="M476" i="16"/>
  <c r="N476" i="16" s="1"/>
  <c r="L476" i="16"/>
  <c r="L475" i="16"/>
  <c r="M475" i="16" s="1"/>
  <c r="N475" i="16" s="1"/>
  <c r="L474" i="16"/>
  <c r="M474" i="16" s="1"/>
  <c r="N474" i="16" s="1"/>
  <c r="N473" i="16"/>
  <c r="M473" i="16"/>
  <c r="L473" i="16"/>
  <c r="M472" i="16"/>
  <c r="N472" i="16" s="1"/>
  <c r="L472" i="16"/>
  <c r="L471" i="16"/>
  <c r="M471" i="16" s="1"/>
  <c r="N471" i="16" s="1"/>
  <c r="N470" i="16"/>
  <c r="M470" i="16"/>
  <c r="L470" i="16"/>
  <c r="L469" i="16"/>
  <c r="M469" i="16" s="1"/>
  <c r="N469" i="16" s="1"/>
  <c r="L468" i="16"/>
  <c r="M468" i="16" s="1"/>
  <c r="N468" i="16" s="1"/>
  <c r="M467" i="16"/>
  <c r="N467" i="16" s="1"/>
  <c r="L467" i="16"/>
  <c r="L466" i="16"/>
  <c r="M466" i="16" s="1"/>
  <c r="N466" i="16" s="1"/>
  <c r="L465" i="16"/>
  <c r="M465" i="16" s="1"/>
  <c r="N465" i="16" s="1"/>
  <c r="N464" i="16"/>
  <c r="M464" i="16"/>
  <c r="L464" i="16"/>
  <c r="M463" i="16"/>
  <c r="N463" i="16" s="1"/>
  <c r="L463" i="16"/>
  <c r="M462" i="16"/>
  <c r="N462" i="16" s="1"/>
  <c r="L462" i="16"/>
  <c r="L461" i="16"/>
  <c r="M461" i="16" s="1"/>
  <c r="N461" i="16" s="1"/>
  <c r="M460" i="16"/>
  <c r="N460" i="16" s="1"/>
  <c r="L460" i="16"/>
  <c r="M459" i="16"/>
  <c r="N459" i="16" s="1"/>
  <c r="L459" i="16"/>
  <c r="M458" i="16"/>
  <c r="N458" i="16" s="1"/>
  <c r="L458" i="16"/>
  <c r="M457" i="16"/>
  <c r="N457" i="16" s="1"/>
  <c r="L457" i="16"/>
  <c r="M456" i="16"/>
  <c r="N456" i="16" s="1"/>
  <c r="L456" i="16"/>
  <c r="L455" i="16"/>
  <c r="M455" i="16" s="1"/>
  <c r="N455" i="16" s="1"/>
  <c r="L454" i="16"/>
  <c r="M454" i="16" s="1"/>
  <c r="N454" i="16" s="1"/>
  <c r="L453" i="16"/>
  <c r="M453" i="16" s="1"/>
  <c r="N453" i="16" s="1"/>
  <c r="L452" i="16"/>
  <c r="M452" i="16" s="1"/>
  <c r="N452" i="16" s="1"/>
  <c r="L451" i="16"/>
  <c r="M451" i="16" s="1"/>
  <c r="N451" i="16" s="1"/>
  <c r="M450" i="16"/>
  <c r="N450" i="16" s="1"/>
  <c r="L450" i="16"/>
  <c r="L449" i="16"/>
  <c r="M449" i="16" s="1"/>
  <c r="N449" i="16" s="1"/>
  <c r="M448" i="16"/>
  <c r="N448" i="16" s="1"/>
  <c r="L448" i="16"/>
  <c r="M447" i="16"/>
  <c r="N447" i="16" s="1"/>
  <c r="L447" i="16"/>
  <c r="L446" i="16"/>
  <c r="M446" i="16" s="1"/>
  <c r="N446" i="16" s="1"/>
  <c r="L445" i="16"/>
  <c r="M445" i="16" s="1"/>
  <c r="N445" i="16" s="1"/>
  <c r="M444" i="16"/>
  <c r="N444" i="16" s="1"/>
  <c r="L444" i="16"/>
  <c r="M443" i="16"/>
  <c r="N443" i="16" s="1"/>
  <c r="N442" i="16"/>
  <c r="M442" i="16"/>
  <c r="M441" i="16"/>
  <c r="N441" i="16" s="1"/>
  <c r="M440" i="16"/>
  <c r="N440" i="16" s="1"/>
  <c r="M439" i="16"/>
  <c r="N439" i="16" s="1"/>
  <c r="N438" i="16"/>
  <c r="M438" i="16"/>
  <c r="M437" i="16"/>
  <c r="N437" i="16" s="1"/>
  <c r="N436" i="16"/>
  <c r="M436" i="16"/>
  <c r="M435" i="16"/>
  <c r="N435" i="16" s="1"/>
  <c r="M434" i="16"/>
  <c r="N434" i="16" s="1"/>
  <c r="M433" i="16"/>
  <c r="N433" i="16" s="1"/>
  <c r="M432" i="16"/>
  <c r="N432" i="16" s="1"/>
  <c r="M431" i="16"/>
  <c r="N431" i="16" s="1"/>
  <c r="N430" i="16"/>
  <c r="M430" i="16"/>
  <c r="M429" i="16"/>
  <c r="N429" i="16" s="1"/>
  <c r="M428" i="16"/>
  <c r="N428" i="16" s="1"/>
  <c r="M427" i="16"/>
  <c r="N427" i="16" s="1"/>
  <c r="N426" i="16"/>
  <c r="M426" i="16"/>
  <c r="M425" i="16"/>
  <c r="N425" i="16" s="1"/>
  <c r="M424" i="16"/>
  <c r="N424" i="16" s="1"/>
  <c r="M423" i="16"/>
  <c r="N423" i="16" s="1"/>
  <c r="N422" i="16"/>
  <c r="M422" i="16"/>
  <c r="M421" i="16"/>
  <c r="N421" i="16" s="1"/>
  <c r="N420" i="16"/>
  <c r="M420" i="16"/>
  <c r="M419" i="16"/>
  <c r="N419" i="16" s="1"/>
  <c r="M418" i="16"/>
  <c r="N418" i="16" s="1"/>
  <c r="M417" i="16"/>
  <c r="N417" i="16" s="1"/>
  <c r="M416" i="16"/>
  <c r="N416" i="16" s="1"/>
  <c r="M415" i="16"/>
  <c r="N415" i="16" s="1"/>
  <c r="N414" i="16"/>
  <c r="M414" i="16"/>
  <c r="M413" i="16"/>
  <c r="N413" i="16" s="1"/>
  <c r="M412" i="16"/>
  <c r="N412" i="16" s="1"/>
  <c r="M411" i="16"/>
  <c r="N411" i="16" s="1"/>
  <c r="N410" i="16"/>
  <c r="M410" i="16"/>
  <c r="M409" i="16"/>
  <c r="N409" i="16" s="1"/>
  <c r="M408" i="16"/>
  <c r="N408" i="16" s="1"/>
  <c r="M407" i="16"/>
  <c r="N407" i="16" s="1"/>
  <c r="N406" i="16"/>
  <c r="M406" i="16"/>
  <c r="M405" i="16"/>
  <c r="N405" i="16" s="1"/>
  <c r="N404" i="16"/>
  <c r="M404" i="16"/>
  <c r="M403" i="16"/>
  <c r="N403" i="16" s="1"/>
  <c r="M402" i="16"/>
  <c r="N402" i="16" s="1"/>
  <c r="M401" i="16"/>
  <c r="N401" i="16" s="1"/>
  <c r="M400" i="16"/>
  <c r="N400" i="16" s="1"/>
  <c r="M399" i="16"/>
  <c r="N399" i="16" s="1"/>
  <c r="N398" i="16"/>
  <c r="M398" i="16"/>
  <c r="M397" i="16"/>
  <c r="N397" i="16" s="1"/>
  <c r="M396" i="16"/>
  <c r="N396" i="16" s="1"/>
  <c r="M395" i="16"/>
  <c r="N395" i="16" s="1"/>
  <c r="N394" i="16"/>
  <c r="M394" i="16"/>
  <c r="M393" i="16"/>
  <c r="N393" i="16" s="1"/>
  <c r="M392" i="16"/>
  <c r="N392" i="16" s="1"/>
  <c r="M391" i="16"/>
  <c r="N391" i="16" s="1"/>
  <c r="N390" i="16"/>
  <c r="M390" i="16"/>
  <c r="M389" i="16"/>
  <c r="N389" i="16" s="1"/>
  <c r="N388" i="16"/>
  <c r="M388" i="16"/>
  <c r="L388" i="16"/>
  <c r="M387" i="16"/>
  <c r="N387" i="16" s="1"/>
  <c r="L387" i="16"/>
  <c r="M386" i="16"/>
  <c r="N386" i="16" s="1"/>
  <c r="L386" i="16"/>
  <c r="L385" i="16"/>
  <c r="M385" i="16" s="1"/>
  <c r="N385" i="16" s="1"/>
  <c r="L384" i="16"/>
  <c r="M384" i="16" s="1"/>
  <c r="N384" i="16" s="1"/>
  <c r="M383" i="16"/>
  <c r="N383" i="16" s="1"/>
  <c r="L383" i="16"/>
  <c r="L382" i="16"/>
  <c r="M382" i="16" s="1"/>
  <c r="N382" i="16" s="1"/>
  <c r="M381" i="16"/>
  <c r="N381" i="16" s="1"/>
  <c r="L381" i="16"/>
  <c r="M380" i="16"/>
  <c r="N380" i="16" s="1"/>
  <c r="L380" i="16"/>
  <c r="N379" i="16"/>
  <c r="M379" i="16"/>
  <c r="L379" i="16"/>
  <c r="L378" i="16"/>
  <c r="M378" i="16" s="1"/>
  <c r="N378" i="16" s="1"/>
  <c r="N377" i="16"/>
  <c r="M377" i="16"/>
  <c r="L377" i="16"/>
  <c r="L376" i="16"/>
  <c r="M376" i="16" s="1"/>
  <c r="N376" i="16" s="1"/>
  <c r="L375" i="16"/>
  <c r="M375" i="16" s="1"/>
  <c r="N375" i="16" s="1"/>
  <c r="M374" i="16"/>
  <c r="N374" i="16" s="1"/>
  <c r="L374" i="16"/>
  <c r="L373" i="16"/>
  <c r="M373" i="16" s="1"/>
  <c r="N373" i="16" s="1"/>
  <c r="L372" i="16"/>
  <c r="M372" i="16" s="1"/>
  <c r="N372" i="16" s="1"/>
  <c r="N371" i="16"/>
  <c r="M371" i="16"/>
  <c r="L371" i="16"/>
  <c r="L370" i="16"/>
  <c r="M370" i="16" s="1"/>
  <c r="N370" i="16" s="1"/>
  <c r="L369" i="16"/>
  <c r="M369" i="16" s="1"/>
  <c r="N369" i="16" s="1"/>
  <c r="L368" i="16"/>
  <c r="M368" i="16" s="1"/>
  <c r="N368" i="16" s="1"/>
  <c r="L367" i="16"/>
  <c r="M367" i="16" s="1"/>
  <c r="N367" i="16" s="1"/>
  <c r="L366" i="16"/>
  <c r="M366" i="16" s="1"/>
  <c r="N366" i="16" s="1"/>
  <c r="M365" i="16"/>
  <c r="N365" i="16" s="1"/>
  <c r="L365" i="16"/>
  <c r="L364" i="16"/>
  <c r="M364" i="16" s="1"/>
  <c r="N364" i="16" s="1"/>
  <c r="M363" i="16"/>
  <c r="N363" i="16" s="1"/>
  <c r="L363" i="16"/>
  <c r="N362" i="16"/>
  <c r="M362" i="16"/>
  <c r="L362" i="16"/>
  <c r="M361" i="16"/>
  <c r="N361" i="16" s="1"/>
  <c r="L361" i="16"/>
  <c r="L360" i="16"/>
  <c r="M360" i="16" s="1"/>
  <c r="N360" i="16" s="1"/>
  <c r="M359" i="16"/>
  <c r="N359" i="16" s="1"/>
  <c r="L359" i="16"/>
  <c r="M358" i="16"/>
  <c r="N358" i="16" s="1"/>
  <c r="L358" i="16"/>
  <c r="L357" i="16"/>
  <c r="M357" i="16" s="1"/>
  <c r="N357" i="16" s="1"/>
  <c r="N356" i="16"/>
  <c r="M356" i="16"/>
  <c r="L356" i="16"/>
  <c r="M355" i="16"/>
  <c r="N355" i="16" s="1"/>
  <c r="L355" i="16"/>
  <c r="M354" i="16"/>
  <c r="N354" i="16" s="1"/>
  <c r="L354" i="16"/>
  <c r="L353" i="16"/>
  <c r="M353" i="16" s="1"/>
  <c r="N353" i="16" s="1"/>
  <c r="N352" i="16"/>
  <c r="L352" i="16"/>
  <c r="M352" i="16" s="1"/>
  <c r="M351" i="16"/>
  <c r="N351" i="16" s="1"/>
  <c r="L351" i="16"/>
  <c r="L350" i="16"/>
  <c r="M350" i="16" s="1"/>
  <c r="N350" i="16" s="1"/>
  <c r="M349" i="16"/>
  <c r="N349" i="16" s="1"/>
  <c r="L348" i="16"/>
  <c r="M348" i="16" s="1"/>
  <c r="N348" i="16" s="1"/>
  <c r="N347" i="16"/>
  <c r="M347" i="16"/>
  <c r="M346" i="16"/>
  <c r="N346" i="16" s="1"/>
  <c r="L345" i="16"/>
  <c r="M345" i="16" s="1"/>
  <c r="N345" i="16" s="1"/>
  <c r="M344" i="16"/>
  <c r="N344" i="16" s="1"/>
  <c r="L344" i="16"/>
  <c r="L343" i="16"/>
  <c r="M343" i="16" s="1"/>
  <c r="N343" i="16" s="1"/>
  <c r="L342" i="16"/>
  <c r="M342" i="16" s="1"/>
  <c r="N342" i="16" s="1"/>
  <c r="M341" i="16"/>
  <c r="N341" i="16" s="1"/>
  <c r="L341" i="16"/>
  <c r="L340" i="16"/>
  <c r="M340" i="16" s="1"/>
  <c r="N340" i="16" s="1"/>
  <c r="L339" i="16"/>
  <c r="M339" i="16" s="1"/>
  <c r="N339" i="16" s="1"/>
  <c r="N338" i="16"/>
  <c r="M338" i="16"/>
  <c r="L338" i="16"/>
  <c r="L337" i="16"/>
  <c r="M337" i="16" s="1"/>
  <c r="N337" i="16" s="1"/>
  <c r="L336" i="16"/>
  <c r="M336" i="16" s="1"/>
  <c r="N336" i="16" s="1"/>
  <c r="L335" i="16"/>
  <c r="M335" i="16" s="1"/>
  <c r="N335" i="16" s="1"/>
  <c r="L334" i="16"/>
  <c r="M334" i="16" s="1"/>
  <c r="N334" i="16" s="1"/>
  <c r="L333" i="16"/>
  <c r="M333" i="16" s="1"/>
  <c r="N333" i="16" s="1"/>
  <c r="M332" i="16"/>
  <c r="N332" i="16" s="1"/>
  <c r="L332" i="16"/>
  <c r="L331" i="16"/>
  <c r="M331" i="16" s="1"/>
  <c r="N331" i="16" s="1"/>
  <c r="M330" i="16"/>
  <c r="N330" i="16" s="1"/>
  <c r="L330" i="16"/>
  <c r="M329" i="16"/>
  <c r="N329" i="16" s="1"/>
  <c r="L329" i="16"/>
  <c r="M328" i="16"/>
  <c r="N328" i="16" s="1"/>
  <c r="L328" i="16"/>
  <c r="L327" i="16"/>
  <c r="M327" i="16" s="1"/>
  <c r="N327" i="16" s="1"/>
  <c r="N326" i="16"/>
  <c r="M326" i="16"/>
  <c r="L326" i="16"/>
  <c r="M325" i="16"/>
  <c r="N325" i="16" s="1"/>
  <c r="L325" i="16"/>
  <c r="L324" i="16"/>
  <c r="M324" i="16" s="1"/>
  <c r="N324" i="16" s="1"/>
  <c r="N323" i="16"/>
  <c r="M323" i="16"/>
  <c r="L323" i="16"/>
  <c r="M322" i="16"/>
  <c r="N322" i="16" s="1"/>
  <c r="L322" i="16"/>
  <c r="M321" i="16"/>
  <c r="N321" i="16" s="1"/>
  <c r="L321" i="16"/>
  <c r="L320" i="16"/>
  <c r="M320" i="16" s="1"/>
  <c r="N320" i="16" s="1"/>
  <c r="L319" i="16"/>
  <c r="M319" i="16" s="1"/>
  <c r="N319" i="16" s="1"/>
  <c r="N318" i="16"/>
  <c r="M318" i="16"/>
  <c r="L318" i="16"/>
  <c r="L317" i="16"/>
  <c r="M317" i="16" s="1"/>
  <c r="N317" i="16" s="1"/>
  <c r="L316" i="16"/>
  <c r="M316" i="16" s="1"/>
  <c r="N316" i="16" s="1"/>
  <c r="N315" i="16"/>
  <c r="M315" i="16"/>
  <c r="L315" i="16"/>
  <c r="M314" i="16"/>
  <c r="N314" i="16" s="1"/>
  <c r="L314" i="16"/>
  <c r="L313" i="16"/>
  <c r="M313" i="16" s="1"/>
  <c r="N313" i="16" s="1"/>
  <c r="L312" i="16"/>
  <c r="M312" i="16" s="1"/>
  <c r="N312" i="16" s="1"/>
  <c r="L311" i="16"/>
  <c r="M311" i="16" s="1"/>
  <c r="N311" i="16" s="1"/>
  <c r="M310" i="16"/>
  <c r="N310" i="16" s="1"/>
  <c r="L310" i="16"/>
  <c r="L309" i="16"/>
  <c r="M309" i="16" s="1"/>
  <c r="N309" i="16" s="1"/>
  <c r="L308" i="16"/>
  <c r="M308" i="16" s="1"/>
  <c r="N308" i="16" s="1"/>
  <c r="M307" i="16"/>
  <c r="N307" i="16" s="1"/>
  <c r="L307" i="16"/>
  <c r="M306" i="16"/>
  <c r="N306" i="16" s="1"/>
  <c r="L306" i="16"/>
  <c r="L305" i="16"/>
  <c r="M305" i="16" s="1"/>
  <c r="N305" i="16" s="1"/>
  <c r="L304" i="16"/>
  <c r="M304" i="16" s="1"/>
  <c r="N304" i="16" s="1"/>
  <c r="N303" i="16"/>
  <c r="L303" i="16"/>
  <c r="M303" i="16" s="1"/>
  <c r="M302" i="16"/>
  <c r="N302" i="16" s="1"/>
  <c r="L302" i="16"/>
  <c r="L301" i="16"/>
  <c r="M301" i="16" s="1"/>
  <c r="N301" i="16" s="1"/>
  <c r="L300" i="16"/>
  <c r="M300" i="16" s="1"/>
  <c r="N300" i="16" s="1"/>
  <c r="N299" i="16"/>
  <c r="M299" i="16"/>
  <c r="L299" i="16"/>
  <c r="M298" i="16"/>
  <c r="N298" i="16" s="1"/>
  <c r="L298" i="16"/>
  <c r="M297" i="16"/>
  <c r="N297" i="16" s="1"/>
  <c r="L297" i="16"/>
  <c r="L296" i="16"/>
  <c r="M296" i="16" s="1"/>
  <c r="N296" i="16" s="1"/>
  <c r="N295" i="16"/>
  <c r="L295" i="16"/>
  <c r="M295" i="16" s="1"/>
  <c r="N294" i="16"/>
  <c r="M294" i="16"/>
  <c r="L294" i="16"/>
  <c r="M293" i="16"/>
  <c r="N293" i="16" s="1"/>
  <c r="L293" i="16"/>
  <c r="L292" i="16"/>
  <c r="M292" i="16" s="1"/>
  <c r="N292" i="16" s="1"/>
  <c r="N291" i="16"/>
  <c r="M291" i="16"/>
  <c r="L291" i="16"/>
  <c r="M290" i="16"/>
  <c r="N290" i="16" s="1"/>
  <c r="L290" i="16"/>
  <c r="M289" i="16"/>
  <c r="N289" i="16" s="1"/>
  <c r="N288" i="16"/>
  <c r="M288" i="16"/>
  <c r="M287" i="16"/>
  <c r="N287" i="16" s="1"/>
  <c r="N286" i="16"/>
  <c r="M286" i="16"/>
  <c r="N285" i="16"/>
  <c r="M285" i="16"/>
  <c r="M284" i="16"/>
  <c r="N284" i="16" s="1"/>
  <c r="M283" i="16"/>
  <c r="N283" i="16" s="1"/>
  <c r="N282" i="16"/>
  <c r="M282" i="16"/>
  <c r="N281" i="16"/>
  <c r="M281" i="16"/>
  <c r="M280" i="16"/>
  <c r="N280" i="16" s="1"/>
  <c r="M279" i="16"/>
  <c r="N279" i="16" s="1"/>
  <c r="N278" i="16"/>
  <c r="M278" i="16"/>
  <c r="M277" i="16"/>
  <c r="N277" i="16" s="1"/>
  <c r="N276" i="16"/>
  <c r="M276" i="16"/>
  <c r="M275" i="16"/>
  <c r="N275" i="16" s="1"/>
  <c r="M274" i="16"/>
  <c r="N274" i="16" s="1"/>
  <c r="M273" i="16"/>
  <c r="N273" i="16" s="1"/>
  <c r="M272" i="16"/>
  <c r="N272" i="16" s="1"/>
  <c r="M271" i="16"/>
  <c r="N271" i="16" s="1"/>
  <c r="N270" i="16"/>
  <c r="M270" i="16"/>
  <c r="M269" i="16"/>
  <c r="N269" i="16" s="1"/>
  <c r="M268" i="16"/>
  <c r="N268" i="16" s="1"/>
  <c r="M267" i="16"/>
  <c r="N267" i="16" s="1"/>
  <c r="N266" i="16"/>
  <c r="M266" i="16"/>
  <c r="N265" i="16"/>
  <c r="M265" i="16"/>
  <c r="M264" i="16"/>
  <c r="N264" i="16" s="1"/>
  <c r="M263" i="16"/>
  <c r="N263" i="16" s="1"/>
  <c r="N262" i="16"/>
  <c r="M262" i="16"/>
  <c r="N261" i="16"/>
  <c r="M261" i="16"/>
  <c r="N260" i="16"/>
  <c r="M260" i="16"/>
  <c r="M259" i="16"/>
  <c r="N259" i="16" s="1"/>
  <c r="M258" i="16"/>
  <c r="N258" i="16" s="1"/>
  <c r="M257" i="16"/>
  <c r="N257" i="16" s="1"/>
  <c r="N256" i="16"/>
  <c r="M256" i="16"/>
  <c r="M255" i="16"/>
  <c r="N255" i="16" s="1"/>
  <c r="M254" i="16"/>
  <c r="N254" i="16" s="1"/>
  <c r="M253" i="16"/>
  <c r="N253" i="16" s="1"/>
  <c r="M252" i="16"/>
  <c r="N252" i="16" s="1"/>
  <c r="M251" i="16"/>
  <c r="N251" i="16" s="1"/>
  <c r="N250" i="16"/>
  <c r="M250" i="16"/>
  <c r="M249" i="16"/>
  <c r="N249" i="16" s="1"/>
  <c r="M248" i="16"/>
  <c r="N248" i="16" s="1"/>
  <c r="M247" i="16"/>
  <c r="N247" i="16" s="1"/>
  <c r="N246" i="16"/>
  <c r="M246" i="16"/>
  <c r="M245" i="16"/>
  <c r="N245" i="16" s="1"/>
  <c r="M244" i="16"/>
  <c r="N244" i="16" s="1"/>
  <c r="M243" i="16"/>
  <c r="N243" i="16" s="1"/>
  <c r="N242" i="16"/>
  <c r="M242" i="16"/>
  <c r="M241" i="16"/>
  <c r="N241" i="16" s="1"/>
  <c r="N240" i="16"/>
  <c r="M240" i="16"/>
  <c r="M239" i="16"/>
  <c r="N239" i="16" s="1"/>
  <c r="M238" i="16"/>
  <c r="N238" i="16" s="1"/>
  <c r="N237" i="16"/>
  <c r="M237" i="16"/>
  <c r="M236" i="16"/>
  <c r="N236" i="16" s="1"/>
  <c r="M235" i="16"/>
  <c r="N235" i="16" s="1"/>
  <c r="N234" i="16"/>
  <c r="M234" i="16"/>
  <c r="M233" i="16"/>
  <c r="N233" i="16" s="1"/>
  <c r="M232" i="16"/>
  <c r="N232" i="16" s="1"/>
  <c r="M231" i="16"/>
  <c r="N231" i="16" s="1"/>
  <c r="N230" i="16"/>
  <c r="M230" i="16"/>
  <c r="N229" i="16"/>
  <c r="M229" i="16"/>
  <c r="M228" i="16"/>
  <c r="N228" i="16" s="1"/>
  <c r="L228" i="16"/>
  <c r="M227" i="16"/>
  <c r="N227" i="16" s="1"/>
  <c r="L227" i="16"/>
  <c r="N226" i="16"/>
  <c r="M226" i="16"/>
  <c r="L226" i="16"/>
  <c r="M225" i="16"/>
  <c r="N225" i="16" s="1"/>
  <c r="M224" i="16"/>
  <c r="N224" i="16" s="1"/>
  <c r="M223" i="16"/>
  <c r="N223" i="16" s="1"/>
  <c r="N222" i="16"/>
  <c r="M222" i="16"/>
  <c r="M221" i="16"/>
  <c r="N221" i="16" s="1"/>
  <c r="M220" i="16"/>
  <c r="N220" i="16" s="1"/>
  <c r="M219" i="16"/>
  <c r="N219" i="16" s="1"/>
  <c r="M218" i="16"/>
  <c r="N218" i="16" s="1"/>
  <c r="N217" i="16"/>
  <c r="M217" i="16"/>
  <c r="M216" i="16"/>
  <c r="N216" i="16" s="1"/>
  <c r="M215" i="16"/>
  <c r="N215" i="16" s="1"/>
  <c r="M214" i="16"/>
  <c r="N214" i="16" s="1"/>
  <c r="M213" i="16"/>
  <c r="N213" i="16" s="1"/>
  <c r="N212" i="16"/>
  <c r="M212" i="16"/>
  <c r="M211" i="16"/>
  <c r="N211" i="16" s="1"/>
  <c r="M210" i="16"/>
  <c r="N210" i="16" s="1"/>
  <c r="N209" i="16"/>
  <c r="M209" i="16"/>
  <c r="N208" i="16"/>
  <c r="M208" i="16"/>
  <c r="M207" i="16"/>
  <c r="N207" i="16" s="1"/>
  <c r="M206" i="16"/>
  <c r="N206" i="16" s="1"/>
  <c r="M205" i="16"/>
  <c r="N205" i="16" s="1"/>
  <c r="N204" i="16"/>
  <c r="M204" i="16"/>
  <c r="M203" i="16"/>
  <c r="N203" i="16" s="1"/>
  <c r="M202" i="16"/>
  <c r="N202" i="16" s="1"/>
  <c r="N201" i="16"/>
  <c r="M201" i="16"/>
  <c r="M200" i="16"/>
  <c r="N200" i="16" s="1"/>
  <c r="M199" i="16"/>
  <c r="N199" i="16" s="1"/>
  <c r="N198" i="16"/>
  <c r="M198" i="16"/>
  <c r="N197" i="16"/>
  <c r="M197" i="16"/>
  <c r="N196" i="16"/>
  <c r="M196" i="16"/>
  <c r="M195" i="16"/>
  <c r="N195" i="16" s="1"/>
  <c r="M194" i="16"/>
  <c r="N194" i="16" s="1"/>
  <c r="M193" i="16"/>
  <c r="N193" i="16" s="1"/>
  <c r="N192" i="16"/>
  <c r="M192" i="16"/>
  <c r="M191" i="16"/>
  <c r="N191" i="16" s="1"/>
  <c r="M190" i="16"/>
  <c r="N190" i="16" s="1"/>
  <c r="N189" i="16"/>
  <c r="M189" i="16"/>
  <c r="M188" i="16"/>
  <c r="N188" i="16" s="1"/>
  <c r="M187" i="16"/>
  <c r="N187" i="16" s="1"/>
  <c r="M186" i="16"/>
  <c r="N186" i="16" s="1"/>
  <c r="M185" i="16"/>
  <c r="N185" i="16" s="1"/>
  <c r="M184" i="16"/>
  <c r="N184" i="16" s="1"/>
  <c r="M183" i="16"/>
  <c r="N183" i="16" s="1"/>
  <c r="M182" i="16"/>
  <c r="N182" i="16" s="1"/>
  <c r="N181" i="16"/>
  <c r="L181" i="16"/>
  <c r="M181" i="16" s="1"/>
  <c r="L180" i="16"/>
  <c r="M180" i="16" s="1"/>
  <c r="N180" i="16" s="1"/>
  <c r="M179" i="16"/>
  <c r="N179" i="16" s="1"/>
  <c r="L179" i="16"/>
  <c r="L178" i="16"/>
  <c r="M178" i="16" s="1"/>
  <c r="N178" i="16" s="1"/>
  <c r="M177" i="16"/>
  <c r="N177" i="16" s="1"/>
  <c r="L177" i="16"/>
  <c r="M176" i="16"/>
  <c r="N176" i="16" s="1"/>
  <c r="M175" i="16"/>
  <c r="N175" i="16" s="1"/>
  <c r="M174" i="16"/>
  <c r="N174" i="16" s="1"/>
  <c r="N173" i="16"/>
  <c r="M173" i="16"/>
  <c r="N172" i="16"/>
  <c r="M172" i="16"/>
  <c r="M171" i="16"/>
  <c r="N171" i="16" s="1"/>
  <c r="M170" i="16"/>
  <c r="N170" i="16" s="1"/>
  <c r="M169" i="16"/>
  <c r="N169" i="16" s="1"/>
  <c r="N168" i="16"/>
  <c r="M168" i="16"/>
  <c r="M167" i="16"/>
  <c r="N167" i="16" s="1"/>
  <c r="N166" i="16"/>
  <c r="M166" i="16"/>
  <c r="M165" i="16"/>
  <c r="N165" i="16" s="1"/>
  <c r="M164" i="16"/>
  <c r="N164" i="16" s="1"/>
  <c r="M163" i="16"/>
  <c r="N163" i="16" s="1"/>
  <c r="N162" i="16"/>
  <c r="M162" i="16"/>
  <c r="N161" i="16"/>
  <c r="M161" i="16"/>
  <c r="M160" i="16"/>
  <c r="N160" i="16" s="1"/>
  <c r="M159" i="16"/>
  <c r="N159" i="16" s="1"/>
  <c r="M158" i="16"/>
  <c r="N158" i="16" s="1"/>
  <c r="N157" i="16"/>
  <c r="M157" i="16"/>
  <c r="M156" i="16"/>
  <c r="N156" i="16" s="1"/>
  <c r="M155" i="16"/>
  <c r="N155" i="16" s="1"/>
  <c r="M154" i="16"/>
  <c r="N154" i="16" s="1"/>
  <c r="N153" i="16"/>
  <c r="M153" i="16"/>
  <c r="M152" i="16"/>
  <c r="N152" i="16" s="1"/>
  <c r="L152" i="16"/>
  <c r="N151" i="16"/>
  <c r="M151" i="16"/>
  <c r="M150" i="16"/>
  <c r="N150" i="16" s="1"/>
  <c r="M149" i="16"/>
  <c r="N149" i="16" s="1"/>
  <c r="M148" i="16"/>
  <c r="N148" i="16" s="1"/>
  <c r="M147" i="16"/>
  <c r="N147" i="16" s="1"/>
  <c r="M146" i="16"/>
  <c r="N146" i="16" s="1"/>
  <c r="L145" i="16"/>
  <c r="M145" i="16" s="1"/>
  <c r="N145" i="16" s="1"/>
  <c r="M144" i="16"/>
  <c r="N144" i="16" s="1"/>
  <c r="M143" i="16"/>
  <c r="N143" i="16" s="1"/>
  <c r="N142" i="16"/>
  <c r="M142" i="16"/>
  <c r="M141" i="16"/>
  <c r="N141" i="16" s="1"/>
  <c r="M140" i="16"/>
  <c r="N140" i="16" s="1"/>
  <c r="M139" i="16"/>
  <c r="N139" i="16" s="1"/>
  <c r="N138" i="16"/>
  <c r="M138" i="16"/>
  <c r="L138" i="16"/>
  <c r="M137" i="16"/>
  <c r="N137" i="16" s="1"/>
  <c r="M136" i="16"/>
  <c r="N136" i="16" s="1"/>
  <c r="M135" i="16"/>
  <c r="N135" i="16" s="1"/>
  <c r="N134" i="16"/>
  <c r="M134" i="16"/>
  <c r="N133" i="16"/>
  <c r="M133" i="16"/>
  <c r="N132" i="16"/>
  <c r="M132" i="16"/>
  <c r="M131" i="16"/>
  <c r="N131" i="16" s="1"/>
  <c r="L131" i="16"/>
  <c r="M130" i="16"/>
  <c r="N130" i="16" s="1"/>
  <c r="M129" i="16"/>
  <c r="N129" i="16" s="1"/>
  <c r="M128" i="16"/>
  <c r="N128" i="16" s="1"/>
  <c r="N127" i="16"/>
  <c r="M127" i="16"/>
  <c r="M126" i="16"/>
  <c r="N126" i="16" s="1"/>
  <c r="M125" i="16"/>
  <c r="N125" i="16" s="1"/>
  <c r="L124" i="16"/>
  <c r="M124" i="16" s="1"/>
  <c r="N124" i="16" s="1"/>
  <c r="L123" i="16"/>
  <c r="M123" i="16" s="1"/>
  <c r="N123" i="16" s="1"/>
  <c r="M122" i="16"/>
  <c r="N122" i="16" s="1"/>
  <c r="L122" i="16"/>
  <c r="M121" i="16"/>
  <c r="N121" i="16" s="1"/>
  <c r="L121" i="16"/>
  <c r="M120" i="16"/>
  <c r="N120" i="16" s="1"/>
  <c r="L120" i="16"/>
  <c r="L119" i="16"/>
  <c r="M119" i="16" s="1"/>
  <c r="N119" i="16" s="1"/>
  <c r="M118" i="16"/>
  <c r="N118" i="16" s="1"/>
  <c r="L118" i="16"/>
  <c r="M117" i="16"/>
  <c r="N117" i="16" s="1"/>
  <c r="L117" i="16"/>
  <c r="L116" i="16"/>
  <c r="M116" i="16" s="1"/>
  <c r="N116" i="16" s="1"/>
  <c r="L115" i="16"/>
  <c r="M115" i="16" s="1"/>
  <c r="N115" i="16" s="1"/>
  <c r="M114" i="16"/>
  <c r="N114" i="16" s="1"/>
  <c r="L114" i="16"/>
  <c r="M113" i="16"/>
  <c r="N113" i="16" s="1"/>
  <c r="L113" i="16"/>
  <c r="M112" i="16"/>
  <c r="N112" i="16" s="1"/>
  <c r="L112" i="16"/>
  <c r="L111" i="16"/>
  <c r="M111" i="16" s="1"/>
  <c r="N111" i="16" s="1"/>
  <c r="M110" i="16"/>
  <c r="N110" i="16" s="1"/>
  <c r="L110" i="16"/>
  <c r="M109" i="16"/>
  <c r="N109" i="16" s="1"/>
  <c r="L109" i="16"/>
  <c r="L108" i="16"/>
  <c r="M108" i="16" s="1"/>
  <c r="N108" i="16" s="1"/>
  <c r="L107" i="16"/>
  <c r="M107" i="16" s="1"/>
  <c r="N107" i="16" s="1"/>
  <c r="M106" i="16"/>
  <c r="N106" i="16" s="1"/>
  <c r="L106" i="16"/>
  <c r="M105" i="16"/>
  <c r="N105" i="16" s="1"/>
  <c r="L105" i="16"/>
  <c r="M104" i="16"/>
  <c r="N104" i="16" s="1"/>
  <c r="L104" i="16"/>
  <c r="L103" i="16"/>
  <c r="M103" i="16" s="1"/>
  <c r="N103" i="16" s="1"/>
  <c r="M102" i="16"/>
  <c r="N102" i="16" s="1"/>
  <c r="L102" i="16"/>
  <c r="M101" i="16"/>
  <c r="N101" i="16" s="1"/>
  <c r="L101" i="16"/>
  <c r="L100" i="16"/>
  <c r="M100" i="16" s="1"/>
  <c r="N100" i="16" s="1"/>
  <c r="L99" i="16"/>
  <c r="M99" i="16" s="1"/>
  <c r="N99" i="16" s="1"/>
  <c r="M98" i="16"/>
  <c r="N98" i="16" s="1"/>
  <c r="L98" i="16"/>
  <c r="M97" i="16"/>
  <c r="N97" i="16" s="1"/>
  <c r="L97" i="16"/>
  <c r="M96" i="16"/>
  <c r="N96" i="16" s="1"/>
  <c r="L96" i="16"/>
  <c r="L95" i="16"/>
  <c r="M95" i="16" s="1"/>
  <c r="N95" i="16" s="1"/>
  <c r="M94" i="16"/>
  <c r="N94" i="16" s="1"/>
  <c r="L94" i="16"/>
  <c r="M93" i="16"/>
  <c r="N93" i="16" s="1"/>
  <c r="L93" i="16"/>
  <c r="L92" i="16"/>
  <c r="M92" i="16" s="1"/>
  <c r="N92" i="16" s="1"/>
  <c r="L91" i="16"/>
  <c r="M91" i="16" s="1"/>
  <c r="N91" i="16" s="1"/>
  <c r="M90" i="16"/>
  <c r="N90" i="16" s="1"/>
  <c r="L90" i="16"/>
  <c r="M89" i="16"/>
  <c r="N89" i="16" s="1"/>
  <c r="L89" i="16"/>
  <c r="M88" i="16"/>
  <c r="N88" i="16" s="1"/>
  <c r="L88" i="16"/>
  <c r="L87" i="16"/>
  <c r="M87" i="16" s="1"/>
  <c r="N87" i="16" s="1"/>
  <c r="M86" i="16"/>
  <c r="N86" i="16" s="1"/>
  <c r="L86" i="16"/>
  <c r="M85" i="16"/>
  <c r="N85" i="16" s="1"/>
  <c r="L85" i="16"/>
  <c r="L84" i="16"/>
  <c r="M84" i="16" s="1"/>
  <c r="N84" i="16" s="1"/>
  <c r="L83" i="16"/>
  <c r="M83" i="16" s="1"/>
  <c r="N83" i="16" s="1"/>
  <c r="M82" i="16"/>
  <c r="N82" i="16" s="1"/>
  <c r="L82" i="16"/>
  <c r="M81" i="16"/>
  <c r="N81" i="16" s="1"/>
  <c r="L81" i="16"/>
  <c r="M80" i="16"/>
  <c r="N80" i="16" s="1"/>
  <c r="L80" i="16"/>
  <c r="L79" i="16"/>
  <c r="M79" i="16" s="1"/>
  <c r="N79" i="16" s="1"/>
  <c r="M78" i="16"/>
  <c r="N78" i="16" s="1"/>
  <c r="L78" i="16"/>
  <c r="M77" i="16"/>
  <c r="N77" i="16" s="1"/>
  <c r="L77" i="16"/>
  <c r="L76" i="16"/>
  <c r="M76" i="16" s="1"/>
  <c r="N76" i="16" s="1"/>
  <c r="L75" i="16"/>
  <c r="M75" i="16" s="1"/>
  <c r="N75" i="16" s="1"/>
  <c r="M74" i="16"/>
  <c r="N74" i="16" s="1"/>
  <c r="L74" i="16"/>
  <c r="M73" i="16"/>
  <c r="N73" i="16" s="1"/>
  <c r="L73" i="16"/>
  <c r="M72" i="16"/>
  <c r="N72" i="16" s="1"/>
  <c r="L72" i="16"/>
  <c r="L71" i="16"/>
  <c r="M71" i="16" s="1"/>
  <c r="N71" i="16" s="1"/>
  <c r="M70" i="16"/>
  <c r="N70" i="16" s="1"/>
  <c r="L70" i="16"/>
  <c r="M69" i="16"/>
  <c r="N69" i="16" s="1"/>
  <c r="L69" i="16"/>
  <c r="L68" i="16"/>
  <c r="M68" i="16" s="1"/>
  <c r="N68" i="16" s="1"/>
  <c r="L67" i="16"/>
  <c r="M67" i="16" s="1"/>
  <c r="N67" i="16" s="1"/>
  <c r="M66" i="16"/>
  <c r="N66" i="16" s="1"/>
  <c r="L66" i="16"/>
  <c r="M65" i="16"/>
  <c r="N65" i="16" s="1"/>
  <c r="L65" i="16"/>
  <c r="M64" i="16"/>
  <c r="N64" i="16" s="1"/>
  <c r="L64" i="16"/>
  <c r="L63" i="16"/>
  <c r="M63" i="16" s="1"/>
  <c r="N63" i="16" s="1"/>
  <c r="M62" i="16"/>
  <c r="N62" i="16" s="1"/>
  <c r="L62" i="16"/>
  <c r="M61" i="16"/>
  <c r="N61" i="16" s="1"/>
  <c r="L61" i="16"/>
  <c r="L60" i="16"/>
  <c r="M60" i="16" s="1"/>
  <c r="N60" i="16" s="1"/>
  <c r="L59" i="16"/>
  <c r="M59" i="16" s="1"/>
  <c r="N59" i="16" s="1"/>
  <c r="M58" i="16"/>
  <c r="N58" i="16" s="1"/>
  <c r="L58" i="16"/>
  <c r="M57" i="16"/>
  <c r="N57" i="16" s="1"/>
  <c r="L57" i="16"/>
  <c r="M56" i="16"/>
  <c r="N56" i="16" s="1"/>
  <c r="L56" i="16"/>
  <c r="L55" i="16"/>
  <c r="M55" i="16" s="1"/>
  <c r="N55" i="16" s="1"/>
  <c r="M54" i="16"/>
  <c r="N54" i="16" s="1"/>
  <c r="L54" i="16"/>
  <c r="N53" i="16"/>
  <c r="M53" i="16"/>
  <c r="L53" i="16"/>
  <c r="L52" i="16"/>
  <c r="M52" i="16" s="1"/>
  <c r="N52" i="16" s="1"/>
  <c r="L51" i="16"/>
  <c r="M51" i="16" s="1"/>
  <c r="N51" i="16" s="1"/>
  <c r="M50" i="16"/>
  <c r="N50" i="16" s="1"/>
  <c r="L50" i="16"/>
  <c r="M49" i="16"/>
  <c r="N49" i="16" s="1"/>
  <c r="L49" i="16"/>
  <c r="M48" i="16"/>
  <c r="N48" i="16" s="1"/>
  <c r="L48" i="16"/>
  <c r="L47" i="16"/>
  <c r="M47" i="16" s="1"/>
  <c r="N47" i="16" s="1"/>
  <c r="M46" i="16"/>
  <c r="N46" i="16" s="1"/>
  <c r="L46" i="16"/>
  <c r="N45" i="16"/>
  <c r="M45" i="16"/>
  <c r="L45" i="16"/>
  <c r="L44" i="16"/>
  <c r="M44" i="16" s="1"/>
  <c r="N44" i="16" s="1"/>
  <c r="L43" i="16"/>
  <c r="M43" i="16" s="1"/>
  <c r="N43" i="16" s="1"/>
  <c r="M42" i="16"/>
  <c r="N42" i="16" s="1"/>
  <c r="L42" i="16"/>
  <c r="M41" i="16"/>
  <c r="N41" i="16" s="1"/>
  <c r="L41" i="16"/>
  <c r="M40" i="16"/>
  <c r="N40" i="16" s="1"/>
  <c r="L40" i="16"/>
  <c r="L39" i="16"/>
  <c r="M39" i="16" s="1"/>
  <c r="N39" i="16" s="1"/>
  <c r="M38" i="16"/>
  <c r="N38" i="16" s="1"/>
  <c r="L38" i="16"/>
  <c r="N37" i="16"/>
  <c r="M37" i="16"/>
  <c r="L37" i="16"/>
  <c r="L36" i="16"/>
  <c r="M36" i="16" s="1"/>
  <c r="N36" i="16" s="1"/>
  <c r="L35" i="16"/>
  <c r="M35" i="16" s="1"/>
  <c r="N35" i="16" s="1"/>
  <c r="M34" i="16"/>
  <c r="N34" i="16" s="1"/>
  <c r="L34" i="16"/>
  <c r="M33" i="16"/>
  <c r="N33" i="16" s="1"/>
  <c r="L33" i="16"/>
  <c r="M32" i="16"/>
  <c r="N32" i="16" s="1"/>
  <c r="L32" i="16"/>
  <c r="L31" i="16"/>
  <c r="M31" i="16" s="1"/>
  <c r="N31" i="16" s="1"/>
  <c r="M30" i="16"/>
  <c r="N30" i="16" s="1"/>
  <c r="L30" i="16"/>
  <c r="N29" i="16"/>
  <c r="M29" i="16"/>
  <c r="L29" i="16"/>
  <c r="L28" i="16"/>
  <c r="M28" i="16" s="1"/>
  <c r="N28" i="16" s="1"/>
  <c r="L27" i="16"/>
  <c r="M27" i="16" s="1"/>
  <c r="N27" i="16" s="1"/>
  <c r="M26" i="16"/>
  <c r="N26" i="16" s="1"/>
  <c r="L26" i="16"/>
  <c r="M25" i="16"/>
  <c r="N25" i="16" s="1"/>
  <c r="L25" i="16"/>
  <c r="M24" i="16"/>
  <c r="N24" i="16" s="1"/>
  <c r="L24" i="16"/>
  <c r="L23" i="16"/>
  <c r="M23" i="16" s="1"/>
  <c r="N23" i="16" s="1"/>
  <c r="M22" i="16"/>
  <c r="N22" i="16" s="1"/>
  <c r="L22" i="16"/>
  <c r="N21" i="16"/>
  <c r="M21" i="16"/>
  <c r="L21" i="16"/>
  <c r="L20" i="16"/>
  <c r="M20" i="16" s="1"/>
  <c r="N20" i="16" s="1"/>
  <c r="L19" i="16"/>
  <c r="M19" i="16" s="1"/>
  <c r="N19" i="16" s="1"/>
  <c r="M18" i="16"/>
  <c r="N18" i="16" s="1"/>
  <c r="L18" i="16"/>
  <c r="M17" i="16"/>
  <c r="N17" i="16" s="1"/>
  <c r="L17" i="16"/>
  <c r="M16" i="16"/>
  <c r="N16" i="16" s="1"/>
  <c r="L16" i="16"/>
  <c r="L15" i="16"/>
  <c r="M15" i="16" s="1"/>
  <c r="N15" i="16" s="1"/>
  <c r="M14" i="16"/>
  <c r="N14" i="16" s="1"/>
  <c r="L14" i="16"/>
  <c r="N13" i="16"/>
  <c r="M13" i="16"/>
  <c r="L13" i="16"/>
  <c r="L12" i="16"/>
  <c r="M12" i="16" s="1"/>
  <c r="N12" i="16" s="1"/>
  <c r="L11" i="16"/>
  <c r="M11" i="16" s="1"/>
  <c r="N11" i="16" s="1"/>
  <c r="M10" i="16"/>
  <c r="N10" i="16" s="1"/>
  <c r="L10" i="16"/>
  <c r="M9" i="16"/>
  <c r="N9" i="16" s="1"/>
  <c r="L9" i="16"/>
  <c r="M8" i="16"/>
  <c r="N8" i="16" s="1"/>
  <c r="L8" i="16"/>
  <c r="L7" i="16"/>
  <c r="M7" i="16" s="1"/>
  <c r="N7" i="16" s="1"/>
  <c r="M6" i="16"/>
  <c r="N6" i="16" s="1"/>
  <c r="L6" i="16"/>
  <c r="N5" i="16"/>
  <c r="M5" i="16"/>
  <c r="L5" i="16"/>
  <c r="I386" i="16"/>
  <c r="I379" i="16"/>
  <c r="I370" i="16"/>
  <c r="I363" i="16"/>
  <c r="I344" i="16"/>
  <c r="I343" i="16"/>
  <c r="I336" i="16"/>
  <c r="I335" i="16"/>
  <c r="I328" i="16"/>
  <c r="I327" i="16"/>
  <c r="I320" i="16"/>
  <c r="I319" i="16"/>
  <c r="I312" i="16"/>
  <c r="I311" i="16"/>
  <c r="I303" i="16"/>
  <c r="I296" i="16"/>
  <c r="I295" i="16"/>
  <c r="I227" i="16"/>
  <c r="I138" i="16"/>
  <c r="I119" i="16"/>
  <c r="I118" i="16"/>
  <c r="I111" i="16"/>
  <c r="I110" i="16"/>
  <c r="I103" i="16"/>
  <c r="I95" i="16"/>
  <c r="I94" i="16"/>
  <c r="I87" i="16"/>
  <c r="I79" i="16"/>
  <c r="I78" i="16"/>
  <c r="I71" i="16"/>
  <c r="I63" i="16"/>
  <c r="I62" i="16"/>
  <c r="I55" i="16"/>
  <c r="I47" i="16"/>
  <c r="I46" i="16"/>
  <c r="I39" i="16"/>
  <c r="I31" i="16"/>
  <c r="I30" i="16"/>
  <c r="I23" i="16"/>
  <c r="I22" i="16"/>
  <c r="I15" i="16"/>
  <c r="I14" i="16"/>
  <c r="I6" i="16"/>
  <c r="H731" i="16"/>
  <c r="I730" i="16"/>
  <c r="I729" i="16"/>
  <c r="I728" i="16"/>
  <c r="I727" i="16"/>
  <c r="I726" i="16"/>
  <c r="I725" i="16"/>
  <c r="I724" i="16"/>
  <c r="I723" i="16"/>
  <c r="I722" i="16"/>
  <c r="I721" i="16"/>
  <c r="I720" i="16"/>
  <c r="I719" i="16"/>
  <c r="I718" i="16"/>
  <c r="I717" i="16"/>
  <c r="I716" i="16"/>
  <c r="I715" i="16"/>
  <c r="I714" i="16"/>
  <c r="I713" i="16"/>
  <c r="I712" i="16"/>
  <c r="I711" i="16"/>
  <c r="I710" i="16"/>
  <c r="I709" i="16"/>
  <c r="I708" i="16"/>
  <c r="I707" i="16"/>
  <c r="I706" i="16"/>
  <c r="I705" i="16"/>
  <c r="I704" i="16"/>
  <c r="I703" i="16"/>
  <c r="I702" i="16"/>
  <c r="I701" i="16"/>
  <c r="I700" i="16"/>
  <c r="I699" i="16"/>
  <c r="I698" i="16"/>
  <c r="I697" i="16"/>
  <c r="I696" i="16"/>
  <c r="I695" i="16"/>
  <c r="I694" i="16"/>
  <c r="I693" i="16"/>
  <c r="I692" i="16"/>
  <c r="I691" i="16"/>
  <c r="I690" i="16"/>
  <c r="I689" i="16"/>
  <c r="I688" i="16"/>
  <c r="I687" i="16"/>
  <c r="I686" i="16"/>
  <c r="I685" i="16"/>
  <c r="I684" i="16"/>
  <c r="I683" i="16"/>
  <c r="I682" i="16"/>
  <c r="I681" i="16"/>
  <c r="I680" i="16"/>
  <c r="I679" i="16"/>
  <c r="I678" i="16"/>
  <c r="I677" i="16"/>
  <c r="I676" i="16"/>
  <c r="I675" i="16"/>
  <c r="I674" i="16"/>
  <c r="I673" i="16"/>
  <c r="I672" i="16"/>
  <c r="I671" i="16"/>
  <c r="I670" i="16"/>
  <c r="I669" i="16"/>
  <c r="I668" i="16"/>
  <c r="I667" i="16"/>
  <c r="I666" i="16"/>
  <c r="I665" i="16"/>
  <c r="I664" i="16"/>
  <c r="I663" i="16"/>
  <c r="I662" i="16"/>
  <c r="I661" i="16"/>
  <c r="I660" i="16"/>
  <c r="I659" i="16"/>
  <c r="I658" i="16"/>
  <c r="I657" i="16"/>
  <c r="I656" i="16"/>
  <c r="I655" i="16"/>
  <c r="I654" i="16"/>
  <c r="I653" i="16"/>
  <c r="I652" i="16"/>
  <c r="AB107" i="18" s="1"/>
  <c r="AC107" i="18" s="1"/>
  <c r="I651" i="16"/>
  <c r="I650" i="16"/>
  <c r="AB105" i="18" s="1"/>
  <c r="AC105" i="18" s="1"/>
  <c r="I649" i="16"/>
  <c r="AB104" i="18" s="1"/>
  <c r="AC104" i="18" s="1"/>
  <c r="I648" i="16"/>
  <c r="AB109" i="18" s="1"/>
  <c r="AC109" i="18" s="1"/>
  <c r="I647" i="16"/>
  <c r="I646" i="16"/>
  <c r="I645" i="16"/>
  <c r="I644" i="16"/>
  <c r="I643" i="16"/>
  <c r="I642" i="16"/>
  <c r="I641" i="16"/>
  <c r="I640" i="16"/>
  <c r="I639" i="16"/>
  <c r="I638" i="16"/>
  <c r="I637" i="16"/>
  <c r="I636" i="16"/>
  <c r="I635" i="16"/>
  <c r="I634" i="16"/>
  <c r="I633" i="16"/>
  <c r="AB108" i="18" s="1"/>
  <c r="AC108" i="18" s="1"/>
  <c r="I632" i="16"/>
  <c r="I631" i="16"/>
  <c r="I630" i="16"/>
  <c r="I629" i="16"/>
  <c r="I628" i="16"/>
  <c r="I627" i="16"/>
  <c r="I626" i="16"/>
  <c r="I625" i="16"/>
  <c r="I624" i="16"/>
  <c r="I623" i="16"/>
  <c r="I622" i="16"/>
  <c r="I621" i="16"/>
  <c r="I620" i="16"/>
  <c r="I619" i="16"/>
  <c r="I618" i="16"/>
  <c r="I617" i="16"/>
  <c r="I616" i="16"/>
  <c r="I615" i="16"/>
  <c r="I614" i="16"/>
  <c r="I613" i="16"/>
  <c r="I612" i="16"/>
  <c r="I611" i="16"/>
  <c r="I610" i="16"/>
  <c r="I609" i="16"/>
  <c r="I608" i="16"/>
  <c r="I607" i="16"/>
  <c r="I606" i="16"/>
  <c r="I605" i="16"/>
  <c r="I604" i="16"/>
  <c r="I603" i="16"/>
  <c r="I602" i="16"/>
  <c r="I601" i="16"/>
  <c r="AB106" i="18" s="1"/>
  <c r="AC106" i="18" s="1"/>
  <c r="I600" i="16"/>
  <c r="I599" i="16"/>
  <c r="I598" i="16"/>
  <c r="I597" i="16"/>
  <c r="I596" i="16"/>
  <c r="I595" i="16"/>
  <c r="I594" i="16"/>
  <c r="I593" i="16"/>
  <c r="I592" i="16"/>
  <c r="I591" i="16"/>
  <c r="I590" i="16"/>
  <c r="I589" i="16"/>
  <c r="I588" i="16"/>
  <c r="I587" i="16"/>
  <c r="I586" i="16"/>
  <c r="I585" i="16"/>
  <c r="I584" i="16"/>
  <c r="I583" i="16"/>
  <c r="I582" i="16"/>
  <c r="I581" i="16"/>
  <c r="I580" i="16"/>
  <c r="I579" i="16"/>
  <c r="I578" i="16"/>
  <c r="I577" i="16"/>
  <c r="I576" i="16"/>
  <c r="I575" i="16"/>
  <c r="I574" i="16"/>
  <c r="I573" i="16"/>
  <c r="I572" i="16"/>
  <c r="I571" i="16"/>
  <c r="I570" i="16"/>
  <c r="I569" i="16"/>
  <c r="I568" i="16"/>
  <c r="I567" i="16"/>
  <c r="I566" i="16"/>
  <c r="I565" i="16"/>
  <c r="I564" i="16"/>
  <c r="I563" i="16"/>
  <c r="I562" i="16"/>
  <c r="I561" i="16"/>
  <c r="I560" i="16"/>
  <c r="I559" i="16"/>
  <c r="I558" i="16"/>
  <c r="I557" i="16"/>
  <c r="I556" i="16"/>
  <c r="I555" i="16"/>
  <c r="I554" i="16"/>
  <c r="I553" i="16"/>
  <c r="I552" i="16"/>
  <c r="I551" i="16"/>
  <c r="I550" i="16"/>
  <c r="I549" i="16"/>
  <c r="I548" i="16"/>
  <c r="I547" i="16"/>
  <c r="I546" i="16"/>
  <c r="I545" i="16"/>
  <c r="I544" i="16"/>
  <c r="I543" i="16"/>
  <c r="I542" i="16"/>
  <c r="I541" i="16"/>
  <c r="I540" i="16"/>
  <c r="I539" i="16"/>
  <c r="I538" i="16"/>
  <c r="I537" i="16"/>
  <c r="I536" i="16"/>
  <c r="I535" i="16"/>
  <c r="I534" i="16"/>
  <c r="I533" i="16"/>
  <c r="I532" i="16"/>
  <c r="I531" i="16"/>
  <c r="I530" i="16"/>
  <c r="I529" i="16"/>
  <c r="I528" i="16"/>
  <c r="I527" i="16"/>
  <c r="I526" i="16"/>
  <c r="I525" i="16"/>
  <c r="I524" i="16"/>
  <c r="I523" i="16"/>
  <c r="I522" i="16"/>
  <c r="I521" i="16"/>
  <c r="I520" i="16"/>
  <c r="I519" i="16"/>
  <c r="I518" i="16"/>
  <c r="I517" i="16"/>
  <c r="I516" i="16"/>
  <c r="I515" i="16"/>
  <c r="I514" i="16"/>
  <c r="I513" i="16"/>
  <c r="I512" i="16"/>
  <c r="I511" i="16"/>
  <c r="I510" i="16"/>
  <c r="I509" i="16"/>
  <c r="I508" i="16"/>
  <c r="I507" i="16"/>
  <c r="I506" i="16"/>
  <c r="I505" i="16"/>
  <c r="I504" i="16"/>
  <c r="I503" i="16"/>
  <c r="I502" i="16"/>
  <c r="I501" i="16"/>
  <c r="I500" i="16"/>
  <c r="I499" i="16"/>
  <c r="I498" i="16"/>
  <c r="I497" i="16"/>
  <c r="I496" i="16"/>
  <c r="I495" i="16"/>
  <c r="I494" i="16"/>
  <c r="I493" i="16"/>
  <c r="I492" i="16"/>
  <c r="I491" i="16"/>
  <c r="I490" i="16"/>
  <c r="I489" i="16"/>
  <c r="I488" i="16"/>
  <c r="I487" i="16"/>
  <c r="I486" i="16"/>
  <c r="I485" i="16"/>
  <c r="I484" i="16"/>
  <c r="I483" i="16"/>
  <c r="I482" i="16"/>
  <c r="I481" i="16"/>
  <c r="I480" i="16"/>
  <c r="I479" i="16"/>
  <c r="I478" i="16"/>
  <c r="I477" i="16"/>
  <c r="I476" i="16"/>
  <c r="I475" i="16"/>
  <c r="I474" i="16"/>
  <c r="I473" i="16"/>
  <c r="I472" i="16"/>
  <c r="I471" i="16"/>
  <c r="I470" i="16"/>
  <c r="I469" i="16"/>
  <c r="I468" i="16"/>
  <c r="I467" i="16"/>
  <c r="I466" i="16"/>
  <c r="I465" i="16"/>
  <c r="I464" i="16"/>
  <c r="I463" i="16"/>
  <c r="I462" i="16"/>
  <c r="I461" i="16"/>
  <c r="I460" i="16"/>
  <c r="I459" i="16"/>
  <c r="I458" i="16"/>
  <c r="I457" i="16"/>
  <c r="I456" i="16"/>
  <c r="I455" i="16"/>
  <c r="I454" i="16"/>
  <c r="I453" i="16"/>
  <c r="I452" i="16"/>
  <c r="I451" i="16"/>
  <c r="I450" i="16"/>
  <c r="I449" i="16"/>
  <c r="I448" i="16"/>
  <c r="I447" i="16"/>
  <c r="I446" i="16"/>
  <c r="I445" i="16"/>
  <c r="I444" i="16"/>
  <c r="I443" i="16"/>
  <c r="I442" i="16"/>
  <c r="I441" i="16"/>
  <c r="I440" i="16"/>
  <c r="I439" i="16"/>
  <c r="I438" i="16"/>
  <c r="I437" i="16"/>
  <c r="I436" i="16"/>
  <c r="I435" i="16"/>
  <c r="I434" i="16"/>
  <c r="I433" i="16"/>
  <c r="I432" i="16"/>
  <c r="I431" i="16"/>
  <c r="I430" i="16"/>
  <c r="I429" i="16"/>
  <c r="I428" i="16"/>
  <c r="I427" i="16"/>
  <c r="I426" i="16"/>
  <c r="I425" i="16"/>
  <c r="I424" i="16"/>
  <c r="I423" i="16"/>
  <c r="I422" i="16"/>
  <c r="I421" i="16"/>
  <c r="I420" i="16"/>
  <c r="I419" i="16"/>
  <c r="I418" i="16"/>
  <c r="I417" i="16"/>
  <c r="I416" i="16"/>
  <c r="I415" i="16"/>
  <c r="I414" i="16"/>
  <c r="I413" i="16"/>
  <c r="I412" i="16"/>
  <c r="I411" i="16"/>
  <c r="I410" i="16"/>
  <c r="I409" i="16"/>
  <c r="I408" i="16"/>
  <c r="I407" i="16"/>
  <c r="I406" i="16"/>
  <c r="I405" i="16"/>
  <c r="I404" i="16"/>
  <c r="I403" i="16"/>
  <c r="I402" i="16"/>
  <c r="I401" i="16"/>
  <c r="I400" i="16"/>
  <c r="I399" i="16"/>
  <c r="I398" i="16"/>
  <c r="I397" i="16"/>
  <c r="I396" i="16"/>
  <c r="I395" i="16"/>
  <c r="I394" i="16"/>
  <c r="I393" i="16"/>
  <c r="I392" i="16"/>
  <c r="I391" i="16"/>
  <c r="I390" i="16"/>
  <c r="I389" i="16"/>
  <c r="I388" i="16"/>
  <c r="I385" i="16"/>
  <c r="I384" i="16"/>
  <c r="I383" i="16"/>
  <c r="I382" i="16"/>
  <c r="I381" i="16"/>
  <c r="I380" i="16"/>
  <c r="I377" i="16"/>
  <c r="I376" i="16"/>
  <c r="I375" i="16"/>
  <c r="I374" i="16"/>
  <c r="I373" i="16"/>
  <c r="I372" i="16"/>
  <c r="I369" i="16"/>
  <c r="I368" i="16"/>
  <c r="I367" i="16"/>
  <c r="I366" i="16"/>
  <c r="I365" i="16"/>
  <c r="I364" i="16"/>
  <c r="I361" i="16"/>
  <c r="I360" i="16"/>
  <c r="I359" i="16"/>
  <c r="I358" i="16"/>
  <c r="I357" i="16"/>
  <c r="I356" i="16"/>
  <c r="I353" i="16"/>
  <c r="I352" i="16"/>
  <c r="I351" i="16"/>
  <c r="I350" i="16"/>
  <c r="I349" i="16"/>
  <c r="I348" i="16"/>
  <c r="I347" i="16"/>
  <c r="I346" i="16"/>
  <c r="I345" i="16"/>
  <c r="I342" i="16"/>
  <c r="I341" i="16"/>
  <c r="I340" i="16"/>
  <c r="I339" i="16"/>
  <c r="I338" i="16"/>
  <c r="I337" i="16"/>
  <c r="I334" i="16"/>
  <c r="I333" i="16"/>
  <c r="I332" i="16"/>
  <c r="I331" i="16"/>
  <c r="I330" i="16"/>
  <c r="I329" i="16"/>
  <c r="I326" i="16"/>
  <c r="I325" i="16"/>
  <c r="I324" i="16"/>
  <c r="I323" i="16"/>
  <c r="I322" i="16"/>
  <c r="I321" i="16"/>
  <c r="I318" i="16"/>
  <c r="I317" i="16"/>
  <c r="I316" i="16"/>
  <c r="I315" i="16"/>
  <c r="I314" i="16"/>
  <c r="I313" i="16"/>
  <c r="I310" i="16"/>
  <c r="I309" i="16"/>
  <c r="I308" i="16"/>
  <c r="I307" i="16"/>
  <c r="I306" i="16"/>
  <c r="I305" i="16"/>
  <c r="I302" i="16"/>
  <c r="I301" i="16"/>
  <c r="I300" i="16"/>
  <c r="I299" i="16"/>
  <c r="I298" i="16"/>
  <c r="I297" i="16"/>
  <c r="I294" i="16"/>
  <c r="I293" i="16"/>
  <c r="I292" i="16"/>
  <c r="I291" i="16"/>
  <c r="I290" i="16"/>
  <c r="I289" i="16"/>
  <c r="I288" i="16"/>
  <c r="I287" i="16"/>
  <c r="I286" i="16"/>
  <c r="I285" i="16"/>
  <c r="I284" i="16"/>
  <c r="I283" i="16"/>
  <c r="I282" i="16"/>
  <c r="I281" i="16"/>
  <c r="I280" i="16"/>
  <c r="I279" i="16"/>
  <c r="I278" i="16"/>
  <c r="I277" i="16"/>
  <c r="I276" i="16"/>
  <c r="I275" i="16"/>
  <c r="I274" i="16"/>
  <c r="I273" i="16"/>
  <c r="I272" i="16"/>
  <c r="I271" i="16"/>
  <c r="I270" i="16"/>
  <c r="I269" i="16"/>
  <c r="I268" i="16"/>
  <c r="I267" i="16"/>
  <c r="I266" i="16"/>
  <c r="I265" i="16"/>
  <c r="I264" i="16"/>
  <c r="I263" i="16"/>
  <c r="I262" i="16"/>
  <c r="I261" i="16"/>
  <c r="I260" i="16"/>
  <c r="I259" i="16"/>
  <c r="I258" i="16"/>
  <c r="I257" i="16"/>
  <c r="I256" i="16"/>
  <c r="I255" i="16"/>
  <c r="I254" i="16"/>
  <c r="I253" i="16"/>
  <c r="I252" i="16"/>
  <c r="I251" i="16"/>
  <c r="I250" i="16"/>
  <c r="I249" i="16"/>
  <c r="I248" i="16"/>
  <c r="I247" i="16"/>
  <c r="I246" i="16"/>
  <c r="I245" i="16"/>
  <c r="I244" i="16"/>
  <c r="I243" i="16"/>
  <c r="I242" i="16"/>
  <c r="I241" i="16"/>
  <c r="I240" i="16"/>
  <c r="I239" i="16"/>
  <c r="I238" i="16"/>
  <c r="I237" i="16"/>
  <c r="I236" i="16"/>
  <c r="I235" i="16"/>
  <c r="I234" i="16"/>
  <c r="I233" i="16"/>
  <c r="I232" i="16"/>
  <c r="I231" i="16"/>
  <c r="I230" i="16"/>
  <c r="I229" i="16"/>
  <c r="I228" i="16"/>
  <c r="I225" i="16"/>
  <c r="I224" i="16"/>
  <c r="I223" i="16"/>
  <c r="I222" i="16"/>
  <c r="I221" i="16"/>
  <c r="I220" i="16"/>
  <c r="I219" i="16"/>
  <c r="I218" i="16"/>
  <c r="I217" i="16"/>
  <c r="I216" i="16"/>
  <c r="I215" i="16"/>
  <c r="I214" i="16"/>
  <c r="I213" i="16"/>
  <c r="I212" i="16"/>
  <c r="I211" i="16"/>
  <c r="I210" i="16"/>
  <c r="I209" i="16"/>
  <c r="I208" i="16"/>
  <c r="I207" i="16"/>
  <c r="I206" i="16"/>
  <c r="I205" i="16"/>
  <c r="I204" i="16"/>
  <c r="I203" i="16"/>
  <c r="I202" i="16"/>
  <c r="I201" i="16"/>
  <c r="I200" i="16"/>
  <c r="I199" i="16"/>
  <c r="I198" i="16"/>
  <c r="I197" i="16"/>
  <c r="I196" i="16"/>
  <c r="I195" i="16"/>
  <c r="I194" i="16"/>
  <c r="I193" i="16"/>
  <c r="I192" i="16"/>
  <c r="I191" i="16"/>
  <c r="I190" i="16"/>
  <c r="I189" i="16"/>
  <c r="I188" i="16"/>
  <c r="I187" i="16"/>
  <c r="I186" i="16"/>
  <c r="I185" i="16"/>
  <c r="I184" i="16"/>
  <c r="I183" i="16"/>
  <c r="I182" i="16"/>
  <c r="I181" i="16"/>
  <c r="I180" i="16"/>
  <c r="I179" i="16"/>
  <c r="I178" i="16"/>
  <c r="I177" i="16"/>
  <c r="I176" i="16"/>
  <c r="I175" i="16"/>
  <c r="I174" i="16"/>
  <c r="I173" i="16"/>
  <c r="I172" i="16"/>
  <c r="I171" i="16"/>
  <c r="I170" i="16"/>
  <c r="I169" i="16"/>
  <c r="I168" i="16"/>
  <c r="I167" i="16"/>
  <c r="I166" i="16"/>
  <c r="I165" i="16"/>
  <c r="I164" i="16"/>
  <c r="I163" i="16"/>
  <c r="I162" i="16"/>
  <c r="I161" i="16"/>
  <c r="I160" i="16"/>
  <c r="I159" i="16"/>
  <c r="I158" i="16"/>
  <c r="I157" i="16"/>
  <c r="I156" i="16"/>
  <c r="I155" i="16"/>
  <c r="I154" i="16"/>
  <c r="I153" i="16"/>
  <c r="I152" i="16"/>
  <c r="I151" i="16"/>
  <c r="I150" i="16"/>
  <c r="I149" i="16"/>
  <c r="I148" i="16"/>
  <c r="I147" i="16"/>
  <c r="I146" i="16"/>
  <c r="I145" i="16"/>
  <c r="I144" i="16"/>
  <c r="I143" i="16"/>
  <c r="I142" i="16"/>
  <c r="I141" i="16"/>
  <c r="I140" i="16"/>
  <c r="I139" i="16"/>
  <c r="I137" i="16"/>
  <c r="I136" i="16"/>
  <c r="I135" i="16"/>
  <c r="I134" i="16"/>
  <c r="I133" i="16"/>
  <c r="I132" i="16"/>
  <c r="I131" i="16"/>
  <c r="I130" i="16"/>
  <c r="I129" i="16"/>
  <c r="I128" i="16"/>
  <c r="I127" i="16"/>
  <c r="I126" i="16"/>
  <c r="I125" i="16"/>
  <c r="I124" i="16"/>
  <c r="I123" i="16"/>
  <c r="I122" i="16"/>
  <c r="I121" i="16"/>
  <c r="I120" i="16"/>
  <c r="I117" i="16"/>
  <c r="I116" i="16"/>
  <c r="I115" i="16"/>
  <c r="I114" i="16"/>
  <c r="I113" i="16"/>
  <c r="I112" i="16"/>
  <c r="I109" i="16"/>
  <c r="I108" i="16"/>
  <c r="I107" i="16"/>
  <c r="I106" i="16"/>
  <c r="I105" i="16"/>
  <c r="I104" i="16"/>
  <c r="I101" i="16"/>
  <c r="I100" i="16"/>
  <c r="I99" i="16"/>
  <c r="I98" i="16"/>
  <c r="I97" i="16"/>
  <c r="I96" i="16"/>
  <c r="I93" i="16"/>
  <c r="I92" i="16"/>
  <c r="I91" i="16"/>
  <c r="I90" i="16"/>
  <c r="I89" i="16"/>
  <c r="I88" i="16"/>
  <c r="I85" i="16"/>
  <c r="I84" i="16"/>
  <c r="I83" i="16"/>
  <c r="I82" i="16"/>
  <c r="I81" i="16"/>
  <c r="I80" i="16"/>
  <c r="I77" i="16"/>
  <c r="I76" i="16"/>
  <c r="I75" i="16"/>
  <c r="I74" i="16"/>
  <c r="I73" i="16"/>
  <c r="I72" i="16"/>
  <c r="I69" i="16"/>
  <c r="I68" i="16"/>
  <c r="I67" i="16"/>
  <c r="I66" i="16"/>
  <c r="I65" i="16"/>
  <c r="I64" i="16"/>
  <c r="I61" i="16"/>
  <c r="I60" i="16"/>
  <c r="I59" i="16"/>
  <c r="I58" i="16"/>
  <c r="I57" i="16"/>
  <c r="I56" i="16"/>
  <c r="I53" i="16"/>
  <c r="I52" i="16"/>
  <c r="I51" i="16"/>
  <c r="I50" i="16"/>
  <c r="I49" i="16"/>
  <c r="I48" i="16"/>
  <c r="I45" i="16"/>
  <c r="I44" i="16"/>
  <c r="I43" i="16"/>
  <c r="I42" i="16"/>
  <c r="I41" i="16"/>
  <c r="I40" i="16"/>
  <c r="I37" i="16"/>
  <c r="I36" i="16"/>
  <c r="I35" i="16"/>
  <c r="I34" i="16"/>
  <c r="I33" i="16"/>
  <c r="I32" i="16"/>
  <c r="I29" i="16"/>
  <c r="I28" i="16"/>
  <c r="I27" i="16"/>
  <c r="I26" i="16"/>
  <c r="I25" i="16"/>
  <c r="I24" i="16"/>
  <c r="I21" i="16"/>
  <c r="I20" i="16"/>
  <c r="I19" i="16"/>
  <c r="I18" i="16"/>
  <c r="I17" i="16"/>
  <c r="I16" i="16"/>
  <c r="I13" i="16"/>
  <c r="I12" i="16"/>
  <c r="I11" i="16"/>
  <c r="I10" i="16"/>
  <c r="I9" i="16"/>
  <c r="I8" i="16"/>
  <c r="I5" i="16"/>
  <c r="D53" i="18"/>
  <c r="D53" i="3"/>
  <c r="D48" i="2"/>
  <c r="AF12" i="18" l="1"/>
  <c r="O25" i="1" s="1"/>
  <c r="L731" i="16"/>
  <c r="M731" i="16"/>
  <c r="N2" i="16" s="1"/>
  <c r="I226" i="16"/>
  <c r="I354" i="16"/>
  <c r="I371" i="16"/>
  <c r="I355" i="16"/>
  <c r="I387" i="16"/>
  <c r="I362" i="16"/>
  <c r="I86" i="16"/>
  <c r="I102" i="16"/>
  <c r="I38" i="16"/>
  <c r="I54" i="16"/>
  <c r="I70" i="16"/>
  <c r="I7" i="16"/>
  <c r="I731" i="16" s="1"/>
  <c r="I378" i="16"/>
  <c r="I304" i="16"/>
  <c r="AB53" i="18"/>
  <c r="Z53" i="3"/>
  <c r="AB48" i="2"/>
  <c r="D49" i="2"/>
  <c r="K4" i="1" l="1"/>
  <c r="K9" i="1"/>
  <c r="K7" i="1"/>
  <c r="K6" i="1"/>
  <c r="K5" i="1"/>
  <c r="O103" i="18"/>
  <c r="O102" i="18"/>
  <c r="D54" i="18"/>
  <c r="AB54" i="18" s="1"/>
  <c r="C12" i="1" l="1"/>
  <c r="C13" i="1" l="1"/>
  <c r="O55" i="18" s="1"/>
  <c r="C11" i="1"/>
  <c r="O47" i="2" l="1"/>
  <c r="O53" i="3"/>
  <c r="AA53" i="3" s="1"/>
  <c r="O53" i="18"/>
  <c r="AC53" i="18" s="1"/>
  <c r="O48" i="2"/>
  <c r="AC48" i="2" s="1"/>
  <c r="H5" i="1" l="1"/>
  <c r="AB27" i="18" l="1"/>
  <c r="AC27" i="18" s="1"/>
  <c r="AB28" i="18"/>
  <c r="AC28" i="18" s="1"/>
  <c r="D10" i="18"/>
  <c r="O101" i="18"/>
  <c r="O100" i="18"/>
  <c r="O99" i="18"/>
  <c r="O98" i="18"/>
  <c r="O97" i="18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6" i="18"/>
  <c r="AB75" i="18"/>
  <c r="AB72" i="18"/>
  <c r="O69" i="18"/>
  <c r="D67" i="18"/>
  <c r="O56" i="18"/>
  <c r="O51" i="18"/>
  <c r="O50" i="18"/>
  <c r="D36" i="18"/>
  <c r="AB36" i="18" s="1"/>
  <c r="O31" i="18"/>
  <c r="O26" i="18"/>
  <c r="O13" i="18"/>
  <c r="AB9" i="18"/>
  <c r="O7" i="18"/>
  <c r="D29" i="18"/>
  <c r="W259" i="10"/>
  <c r="V259" i="10"/>
  <c r="S259" i="10"/>
  <c r="R259" i="10"/>
  <c r="O259" i="10"/>
  <c r="U259" i="10" s="1"/>
  <c r="L259" i="10"/>
  <c r="W258" i="10"/>
  <c r="V258" i="10"/>
  <c r="S258" i="10"/>
  <c r="R258" i="10"/>
  <c r="O258" i="10"/>
  <c r="U258" i="10" s="1"/>
  <c r="L258" i="10"/>
  <c r="W257" i="10"/>
  <c r="V257" i="10"/>
  <c r="S257" i="10"/>
  <c r="R257" i="10"/>
  <c r="O257" i="10"/>
  <c r="L257" i="10"/>
  <c r="W256" i="10"/>
  <c r="V256" i="10"/>
  <c r="S256" i="10"/>
  <c r="R256" i="10"/>
  <c r="O256" i="10"/>
  <c r="L256" i="10"/>
  <c r="W255" i="10"/>
  <c r="V255" i="10"/>
  <c r="S255" i="10"/>
  <c r="R255" i="10"/>
  <c r="O255" i="10"/>
  <c r="U255" i="10" s="1"/>
  <c r="L255" i="10"/>
  <c r="W254" i="10"/>
  <c r="V254" i="10"/>
  <c r="S254" i="10"/>
  <c r="R254" i="10"/>
  <c r="O254" i="10"/>
  <c r="U254" i="10" s="1"/>
  <c r="L254" i="10"/>
  <c r="W253" i="10"/>
  <c r="V253" i="10"/>
  <c r="S253" i="10"/>
  <c r="R253" i="10"/>
  <c r="O253" i="10"/>
  <c r="L253" i="10"/>
  <c r="W252" i="10"/>
  <c r="V252" i="10"/>
  <c r="S252" i="10"/>
  <c r="R252" i="10"/>
  <c r="O252" i="10"/>
  <c r="U252" i="10" s="1"/>
  <c r="L252" i="10"/>
  <c r="U256" i="10" l="1"/>
  <c r="U253" i="10"/>
  <c r="U257" i="10"/>
  <c r="AB10" i="18"/>
  <c r="D68" i="18" l="1"/>
  <c r="D52" i="18"/>
  <c r="D40" i="18"/>
  <c r="D39" i="18"/>
  <c r="D33" i="18"/>
  <c r="D16" i="18"/>
  <c r="D15" i="18"/>
  <c r="AC75" i="18" l="1"/>
  <c r="AC72" i="18"/>
  <c r="H70" i="18"/>
  <c r="H69" i="18"/>
  <c r="H67" i="18"/>
  <c r="H39" i="18"/>
  <c r="H36" i="18"/>
  <c r="H33" i="18"/>
  <c r="H29" i="18"/>
  <c r="D26" i="18" s="1"/>
  <c r="H16" i="18"/>
  <c r="H15" i="18"/>
  <c r="AC10" i="18"/>
  <c r="H10" i="18"/>
  <c r="AC9" i="18"/>
  <c r="O38" i="18" l="1"/>
  <c r="H40" i="18"/>
  <c r="O32" i="18"/>
  <c r="O52" i="18" l="1"/>
  <c r="O45" i="18"/>
  <c r="O46" i="18"/>
  <c r="O101" i="3"/>
  <c r="O101" i="2"/>
  <c r="O104" i="3"/>
  <c r="O103" i="3"/>
  <c r="O102" i="3"/>
  <c r="O100" i="3"/>
  <c r="O99" i="3"/>
  <c r="O100" i="2"/>
  <c r="O102" i="2"/>
  <c r="O103" i="2"/>
  <c r="O104" i="2"/>
  <c r="O99" i="2"/>
  <c r="Z102" i="3" l="1"/>
  <c r="AA102" i="3" s="1"/>
  <c r="AB102" i="2"/>
  <c r="AC102" i="2" s="1"/>
  <c r="Z100" i="3"/>
  <c r="AA100" i="3" s="1"/>
  <c r="AB100" i="2"/>
  <c r="AC100" i="2" s="1"/>
  <c r="Z99" i="3"/>
  <c r="AA99" i="3" s="1"/>
  <c r="AB99" i="2"/>
  <c r="AC99" i="2" s="1"/>
  <c r="Z96" i="3"/>
  <c r="O55" i="3" l="1"/>
  <c r="D54" i="3"/>
  <c r="O50" i="2"/>
  <c r="AB49" i="2"/>
  <c r="AB56" i="18"/>
  <c r="AC56" i="18" s="1"/>
  <c r="AB23" i="18" l="1"/>
  <c r="AC23" i="18" s="1"/>
  <c r="Z27" i="3"/>
  <c r="AA27" i="3" s="1"/>
  <c r="AB21" i="2"/>
  <c r="AC21" i="2" s="1"/>
  <c r="AB54" i="3"/>
  <c r="Z54" i="3"/>
  <c r="O97" i="3"/>
  <c r="O98" i="3"/>
  <c r="O98" i="2"/>
  <c r="O97" i="2"/>
  <c r="AB102" i="18"/>
  <c r="AC102" i="18" s="1"/>
  <c r="AB103" i="18"/>
  <c r="AC103" i="18" s="1"/>
  <c r="Z97" i="3" l="1"/>
  <c r="AA97" i="3" s="1"/>
  <c r="AB97" i="2"/>
  <c r="AC97" i="2" s="1"/>
  <c r="AB98" i="2"/>
  <c r="AC98" i="2" s="1"/>
  <c r="Z98" i="3"/>
  <c r="AA98" i="3" s="1"/>
  <c r="O77" i="18" l="1"/>
  <c r="AB74" i="18"/>
  <c r="AC74" i="18" s="1"/>
  <c r="AB73" i="18"/>
  <c r="AC73" i="18" s="1"/>
  <c r="Z73" i="3" l="1"/>
  <c r="AA73" i="3" s="1"/>
  <c r="AB68" i="2"/>
  <c r="AC68" i="2" s="1"/>
  <c r="AB69" i="2"/>
  <c r="AC69" i="2" s="1"/>
  <c r="Z74" i="3"/>
  <c r="AA74" i="3" s="1"/>
  <c r="AB103" i="2" l="1"/>
  <c r="AC103" i="2" s="1"/>
  <c r="Z103" i="3"/>
  <c r="AA103" i="3" s="1"/>
  <c r="AB94" i="18"/>
  <c r="AC94" i="18" s="1"/>
  <c r="AB104" i="2" l="1"/>
  <c r="AC104" i="2" s="1"/>
  <c r="Z104" i="3"/>
  <c r="AA104" i="3" s="1"/>
  <c r="D52" i="3"/>
  <c r="D47" i="2"/>
  <c r="AB101" i="18"/>
  <c r="AC101" i="18" s="1"/>
  <c r="O96" i="2"/>
  <c r="O95" i="2"/>
  <c r="O94" i="2"/>
  <c r="O93" i="2"/>
  <c r="O92" i="2"/>
  <c r="O91" i="2"/>
  <c r="O90" i="2"/>
  <c r="AB95" i="18"/>
  <c r="AC95" i="18" s="1"/>
  <c r="AB96" i="18"/>
  <c r="AC96" i="18" s="1"/>
  <c r="AB97" i="18"/>
  <c r="AC97" i="18" s="1"/>
  <c r="AB98" i="18"/>
  <c r="AC98" i="18" s="1"/>
  <c r="AB99" i="18"/>
  <c r="AC99" i="18" s="1"/>
  <c r="AB100" i="18"/>
  <c r="AC100" i="18" s="1"/>
  <c r="AB71" i="18"/>
  <c r="AC71" i="18" s="1"/>
  <c r="O96" i="3" l="1"/>
  <c r="AA96" i="3" s="1"/>
  <c r="O95" i="3"/>
  <c r="Z94" i="3"/>
  <c r="Z95" i="3"/>
  <c r="AA95" i="3" l="1"/>
  <c r="AB89" i="2"/>
  <c r="AB90" i="2"/>
  <c r="AC90" i="2" s="1"/>
  <c r="AB91" i="2"/>
  <c r="AC91" i="2" s="1"/>
  <c r="AB92" i="2"/>
  <c r="AC92" i="2" s="1"/>
  <c r="AB93" i="2"/>
  <c r="AC93" i="2" s="1"/>
  <c r="AB94" i="2"/>
  <c r="AC94" i="2" s="1"/>
  <c r="AB95" i="2"/>
  <c r="AC95" i="2" s="1"/>
  <c r="AB96" i="2"/>
  <c r="AC96" i="2" s="1"/>
  <c r="O94" i="3" l="1"/>
  <c r="AA94" i="3" s="1"/>
  <c r="O89" i="2"/>
  <c r="AC89" i="2" s="1"/>
  <c r="O88" i="2"/>
  <c r="O52" i="3" l="1"/>
  <c r="O90" i="3" l="1"/>
  <c r="O93" i="3"/>
  <c r="O92" i="3"/>
  <c r="O91" i="3"/>
  <c r="AB88" i="2"/>
  <c r="AC88" i="2" s="1"/>
  <c r="O85" i="2"/>
  <c r="O87" i="2"/>
  <c r="O86" i="2"/>
  <c r="AB92" i="18" l="1"/>
  <c r="AC92" i="18" s="1"/>
  <c r="Z92" i="3"/>
  <c r="AA92" i="3" s="1"/>
  <c r="AB87" i="2"/>
  <c r="AC87" i="2" s="1"/>
  <c r="AB91" i="18"/>
  <c r="AC91" i="18" s="1"/>
  <c r="Z91" i="3"/>
  <c r="AA91" i="3" s="1"/>
  <c r="AB86" i="2"/>
  <c r="AC86" i="2" s="1"/>
  <c r="Z93" i="3"/>
  <c r="AA93" i="3" s="1"/>
  <c r="AB93" i="18"/>
  <c r="AC93" i="18" s="1"/>
  <c r="Z90" i="3"/>
  <c r="AA90" i="3" s="1"/>
  <c r="AB90" i="18"/>
  <c r="AC90" i="18" s="1"/>
  <c r="AB85" i="2"/>
  <c r="AC85" i="2" s="1"/>
  <c r="H32" i="17" l="1"/>
  <c r="O51" i="2"/>
  <c r="AB51" i="2" l="1"/>
  <c r="AC51" i="2" s="1"/>
  <c r="Z56" i="3"/>
  <c r="O56" i="3"/>
  <c r="AA56" i="3" l="1"/>
  <c r="AB11" i="18" l="1"/>
  <c r="AC11" i="18" s="1"/>
  <c r="AB8" i="18"/>
  <c r="AC8" i="18" s="1"/>
  <c r="AB16" i="18"/>
  <c r="AC16" i="18" s="1"/>
  <c r="AB12" i="18"/>
  <c r="AC12" i="18" s="1"/>
  <c r="AB32" i="18"/>
  <c r="AC32" i="18" s="1"/>
  <c r="AB19" i="18"/>
  <c r="AC19" i="18" s="1"/>
  <c r="AB34" i="18"/>
  <c r="AC34" i="18" s="1"/>
  <c r="AB42" i="18"/>
  <c r="AC42" i="18" s="1"/>
  <c r="AB43" i="18"/>
  <c r="AC43" i="18" s="1"/>
  <c r="AB44" i="18"/>
  <c r="AC44" i="18" s="1"/>
  <c r="AB45" i="18"/>
  <c r="AC45" i="18" s="1"/>
  <c r="AB49" i="18"/>
  <c r="AB50" i="18"/>
  <c r="AC50" i="18" s="1"/>
  <c r="AB51" i="18"/>
  <c r="AC51" i="18" s="1"/>
  <c r="AB46" i="18"/>
  <c r="AC46" i="18" s="1"/>
  <c r="Z48" i="3"/>
  <c r="AB37" i="18"/>
  <c r="AB38" i="18"/>
  <c r="AC38" i="18" s="1"/>
  <c r="AB35" i="18"/>
  <c r="AC35" i="18" s="1"/>
  <c r="AB55" i="18"/>
  <c r="AC55" i="18" s="1"/>
  <c r="AB87" i="18"/>
  <c r="AC87" i="18" s="1"/>
  <c r="AB86" i="18"/>
  <c r="AC86" i="18" s="1"/>
  <c r="AB85" i="18"/>
  <c r="AC85" i="18" s="1"/>
  <c r="Z16" i="3"/>
  <c r="AB59" i="18"/>
  <c r="AC59" i="18" s="1"/>
  <c r="AB61" i="18"/>
  <c r="AC61" i="18" s="1"/>
  <c r="AB21" i="18"/>
  <c r="AB13" i="18"/>
  <c r="AC13" i="18" s="1"/>
  <c r="Z20" i="3"/>
  <c r="AB78" i="18"/>
  <c r="AC78" i="18" s="1"/>
  <c r="AB77" i="18"/>
  <c r="AC77" i="18" s="1"/>
  <c r="AB76" i="18"/>
  <c r="AC76" i="18" s="1"/>
  <c r="AB62" i="18"/>
  <c r="AC62" i="18" s="1"/>
  <c r="AB64" i="18"/>
  <c r="AC64" i="18" s="1"/>
  <c r="AB65" i="18"/>
  <c r="AB69" i="18"/>
  <c r="AC69" i="18" s="1"/>
  <c r="AB63" i="18"/>
  <c r="AC63" i="18" s="1"/>
  <c r="AB60" i="18"/>
  <c r="AC60" i="18" s="1"/>
  <c r="AB66" i="18"/>
  <c r="AC66" i="18" s="1"/>
  <c r="AB30" i="18"/>
  <c r="AC30" i="18" s="1"/>
  <c r="AB31" i="18"/>
  <c r="AC31" i="18" s="1"/>
  <c r="AB18" i="18"/>
  <c r="AC18" i="18" s="1"/>
  <c r="AB17" i="18"/>
  <c r="AC17" i="18" s="1"/>
  <c r="AB67" i="2"/>
  <c r="AC67" i="2" s="1"/>
  <c r="AB22" i="18"/>
  <c r="AB57" i="18"/>
  <c r="AC57" i="18" s="1"/>
  <c r="AB70" i="18"/>
  <c r="AC70" i="18" s="1"/>
  <c r="AB58" i="18"/>
  <c r="AC58" i="18" s="1"/>
  <c r="AB88" i="18"/>
  <c r="AC88" i="18" s="1"/>
  <c r="AB33" i="18" l="1"/>
  <c r="AC33" i="18" s="1"/>
  <c r="AB29" i="18"/>
  <c r="AC29" i="18" s="1"/>
  <c r="AF11" i="18" s="1"/>
  <c r="O24" i="1" s="1"/>
  <c r="AB26" i="18"/>
  <c r="AC26" i="18" s="1"/>
  <c r="AB40" i="18"/>
  <c r="AC40" i="18" s="1"/>
  <c r="AB39" i="18"/>
  <c r="AC39" i="18" s="1"/>
  <c r="AB15" i="18"/>
  <c r="AC15" i="18" s="1"/>
  <c r="AB80" i="18"/>
  <c r="AC80" i="18" s="1"/>
  <c r="AB83" i="18"/>
  <c r="AC83" i="18" s="1"/>
  <c r="AB82" i="18"/>
  <c r="AC82" i="18" s="1"/>
  <c r="AB79" i="18"/>
  <c r="AC79" i="18" s="1"/>
  <c r="AB81" i="18"/>
  <c r="AC81" i="18" s="1"/>
  <c r="AB84" i="18"/>
  <c r="AC84" i="18" s="1"/>
  <c r="AB84" i="2"/>
  <c r="AB89" i="18"/>
  <c r="AC89" i="18" s="1"/>
  <c r="AB18" i="2"/>
  <c r="AB20" i="18"/>
  <c r="AB47" i="18"/>
  <c r="AB101" i="2"/>
  <c r="AC101" i="2" s="1"/>
  <c r="AF12" i="2" s="1"/>
  <c r="O9" i="1" s="1"/>
  <c r="Z101" i="3"/>
  <c r="AA101" i="3" s="1"/>
  <c r="AD12" i="3" s="1"/>
  <c r="O17" i="1" s="1"/>
  <c r="AB68" i="18"/>
  <c r="AC68" i="18" s="1"/>
  <c r="AB67" i="18"/>
  <c r="AC67" i="18" s="1"/>
  <c r="AF7" i="18" s="1"/>
  <c r="O20" i="1" s="1"/>
  <c r="AB47" i="2"/>
  <c r="AB52" i="18"/>
  <c r="AC52" i="18" s="1"/>
  <c r="AB36" i="2"/>
  <c r="AB41" i="18"/>
  <c r="AC41" i="18" s="1"/>
  <c r="AB43" i="2"/>
  <c r="AB48" i="18"/>
  <c r="AB55" i="3"/>
  <c r="AC55" i="3" s="1"/>
  <c r="Z55" i="3"/>
  <c r="AA55" i="3" s="1"/>
  <c r="AB50" i="2"/>
  <c r="AC50" i="2" s="1"/>
  <c r="Z52" i="3"/>
  <c r="Z59" i="3"/>
  <c r="AB54" i="2"/>
  <c r="AB32" i="2"/>
  <c r="Z38" i="3"/>
  <c r="AB39" i="2"/>
  <c r="Z44" i="3"/>
  <c r="AB28" i="2"/>
  <c r="Z34" i="3"/>
  <c r="Z89" i="3"/>
  <c r="AB61" i="2"/>
  <c r="Z66" i="3"/>
  <c r="AB19" i="2"/>
  <c r="Z21" i="3"/>
  <c r="AB82" i="2"/>
  <c r="Z87" i="3"/>
  <c r="AB38" i="2"/>
  <c r="Z43" i="3"/>
  <c r="AB83" i="2"/>
  <c r="Z88" i="3"/>
  <c r="AB53" i="2"/>
  <c r="Z58" i="3"/>
  <c r="Z32" i="3"/>
  <c r="AB26" i="2"/>
  <c r="AB76" i="2"/>
  <c r="Z81" i="3"/>
  <c r="AB79" i="2"/>
  <c r="Z84" i="3"/>
  <c r="AB73" i="2"/>
  <c r="Z78" i="3"/>
  <c r="AB81" i="2"/>
  <c r="Z86" i="3"/>
  <c r="AB65" i="2"/>
  <c r="Z70" i="3"/>
  <c r="AB63" i="2"/>
  <c r="Z68" i="3"/>
  <c r="AB10" i="2"/>
  <c r="Z11" i="3"/>
  <c r="AB70" i="2"/>
  <c r="Z75" i="3"/>
  <c r="AB52" i="2"/>
  <c r="Z57" i="3"/>
  <c r="Z17" i="3"/>
  <c r="AB15" i="2"/>
  <c r="AB16" i="2"/>
  <c r="Z18" i="3"/>
  <c r="AB55" i="2"/>
  <c r="AC55" i="2" s="1"/>
  <c r="Z60" i="3"/>
  <c r="AB60" i="2"/>
  <c r="Z65" i="3"/>
  <c r="AB46" i="2"/>
  <c r="Z51" i="3"/>
  <c r="AB37" i="2"/>
  <c r="Z42" i="3"/>
  <c r="AB8" i="2"/>
  <c r="Z9" i="3"/>
  <c r="AB45" i="2"/>
  <c r="Z50" i="3"/>
  <c r="AB30" i="2"/>
  <c r="Z36" i="3"/>
  <c r="AB9" i="2"/>
  <c r="Z10" i="3"/>
  <c r="Z23" i="3"/>
  <c r="AB20" i="2"/>
  <c r="AB58" i="2"/>
  <c r="Z63" i="3"/>
  <c r="AB64" i="2"/>
  <c r="Z69" i="3"/>
  <c r="AB57" i="2"/>
  <c r="Z62" i="3"/>
  <c r="AB42" i="2"/>
  <c r="Z47" i="3"/>
  <c r="AB44" i="2"/>
  <c r="Z49" i="3"/>
  <c r="AB31" i="2"/>
  <c r="Z37" i="3"/>
  <c r="AB17" i="2"/>
  <c r="Z19" i="3"/>
  <c r="AB59" i="2"/>
  <c r="Z64" i="3"/>
  <c r="Z72" i="3"/>
  <c r="Z33" i="3"/>
  <c r="AB27" i="2"/>
  <c r="AB74" i="2"/>
  <c r="Z79" i="3"/>
  <c r="AB77" i="2"/>
  <c r="Z82" i="3"/>
  <c r="AB71" i="2"/>
  <c r="Z76" i="3"/>
  <c r="AB11" i="2"/>
  <c r="Z12" i="3"/>
  <c r="AB66" i="2"/>
  <c r="Z71" i="3"/>
  <c r="AB75" i="2"/>
  <c r="Z80" i="3"/>
  <c r="AB78" i="2"/>
  <c r="Z83" i="3"/>
  <c r="Z77" i="3"/>
  <c r="AB72" i="2"/>
  <c r="AB56" i="2"/>
  <c r="Z61" i="3"/>
  <c r="Z85" i="3"/>
  <c r="AB80" i="2"/>
  <c r="AB33" i="2"/>
  <c r="Z39" i="3"/>
  <c r="AB41" i="2"/>
  <c r="Z46" i="3"/>
  <c r="AB40" i="2"/>
  <c r="Z45" i="3"/>
  <c r="N12" i="1"/>
  <c r="N13" i="1"/>
  <c r="N14" i="1"/>
  <c r="N15" i="1"/>
  <c r="N16" i="1"/>
  <c r="N11" i="1"/>
  <c r="N4" i="1"/>
  <c r="N5" i="1"/>
  <c r="N6" i="1"/>
  <c r="N7" i="1"/>
  <c r="N8" i="1"/>
  <c r="N3" i="1"/>
  <c r="AA16" i="3"/>
  <c r="AF8" i="18" l="1"/>
  <c r="O21" i="1" s="1"/>
  <c r="AA60" i="3"/>
  <c r="AC58" i="2"/>
  <c r="AA63" i="3"/>
  <c r="AA42" i="3"/>
  <c r="AC37" i="2"/>
  <c r="AA32" i="3"/>
  <c r="AC26" i="2"/>
  <c r="AA18" i="3"/>
  <c r="AC16" i="2"/>
  <c r="AC57" i="2"/>
  <c r="AA62" i="3"/>
  <c r="AC70" i="2"/>
  <c r="AA75" i="3"/>
  <c r="AC36" i="2"/>
  <c r="AC56" i="2"/>
  <c r="AA61" i="3"/>
  <c r="AA72" i="3"/>
  <c r="AC54" i="2"/>
  <c r="AA59" i="3"/>
  <c r="AC31" i="2"/>
  <c r="AA37" i="3"/>
  <c r="AA17" i="3"/>
  <c r="AC15" i="2"/>
  <c r="AC66" i="2"/>
  <c r="AA71" i="3"/>
  <c r="AA58" i="3"/>
  <c r="AC53" i="2"/>
  <c r="AC30" i="2"/>
  <c r="AA36" i="3"/>
  <c r="AA19" i="3"/>
  <c r="AC17" i="2"/>
  <c r="AC65" i="2"/>
  <c r="AA70" i="3"/>
  <c r="AC61" i="2"/>
  <c r="AA66" i="3"/>
  <c r="AA57" i="3"/>
  <c r="AC52" i="2"/>
  <c r="AA44" i="3"/>
  <c r="AC39" i="2"/>
  <c r="AC9" i="2"/>
  <c r="AA10" i="3"/>
  <c r="AA68" i="3"/>
  <c r="AC63" i="2"/>
  <c r="AA43" i="3"/>
  <c r="AC38" i="2"/>
  <c r="AA9" i="3"/>
  <c r="AC8" i="2"/>
  <c r="AC59" i="2"/>
  <c r="AA64" i="3"/>
  <c r="AA11" i="3"/>
  <c r="AC10" i="2"/>
  <c r="O7" i="2"/>
  <c r="O7" i="3"/>
  <c r="O24" i="2" l="1"/>
  <c r="O26" i="3"/>
  <c r="L7" i="1" l="1"/>
  <c r="O83" i="2"/>
  <c r="AC83" i="2" s="1"/>
  <c r="O81" i="2"/>
  <c r="AC81" i="2" s="1"/>
  <c r="O82" i="2"/>
  <c r="AC82" i="2" s="1"/>
  <c r="O80" i="2"/>
  <c r="AC80" i="2" s="1"/>
  <c r="O78" i="2"/>
  <c r="AC78" i="2" s="1"/>
  <c r="O79" i="2"/>
  <c r="AC79" i="2" s="1"/>
  <c r="O77" i="2"/>
  <c r="AC77" i="2" s="1"/>
  <c r="O75" i="2"/>
  <c r="AC75" i="2" s="1"/>
  <c r="O76" i="2"/>
  <c r="AC76" i="2" s="1"/>
  <c r="O74" i="2"/>
  <c r="AC74" i="2" s="1"/>
  <c r="O73" i="2"/>
  <c r="AC73" i="2" s="1"/>
  <c r="O71" i="2"/>
  <c r="AC71" i="2" s="1"/>
  <c r="O84" i="2"/>
  <c r="AC84" i="2" s="1"/>
  <c r="O76" i="3"/>
  <c r="AA76" i="3" s="1"/>
  <c r="O88" i="3"/>
  <c r="AA88" i="3" s="1"/>
  <c r="O86" i="3"/>
  <c r="AA86" i="3" s="1"/>
  <c r="O87" i="3"/>
  <c r="AA87" i="3" s="1"/>
  <c r="O85" i="3"/>
  <c r="AA85" i="3" s="1"/>
  <c r="O83" i="3"/>
  <c r="AA83" i="3" s="1"/>
  <c r="O84" i="3"/>
  <c r="AA84" i="3" s="1"/>
  <c r="O82" i="3"/>
  <c r="AA82" i="3" s="1"/>
  <c r="O80" i="3"/>
  <c r="AA80" i="3" s="1"/>
  <c r="O81" i="3"/>
  <c r="AA81" i="3" s="1"/>
  <c r="O79" i="3"/>
  <c r="AA79" i="3" s="1"/>
  <c r="O78" i="3"/>
  <c r="AA78" i="3" s="1"/>
  <c r="D29" i="2" l="1"/>
  <c r="AB29" i="2" s="1"/>
  <c r="D35" i="3"/>
  <c r="Z35" i="3" s="1"/>
  <c r="X34" i="4"/>
  <c r="X32" i="4"/>
  <c r="X33" i="4"/>
  <c r="X31" i="4"/>
  <c r="X28" i="4"/>
  <c r="H9" i="1"/>
  <c r="H24" i="4"/>
  <c r="C16" i="1" s="1"/>
  <c r="AA35" i="3" l="1"/>
  <c r="AC29" i="2"/>
  <c r="B18" i="1" l="1"/>
  <c r="D24" i="2"/>
  <c r="H23" i="2"/>
  <c r="D23" i="2" s="1"/>
  <c r="D6" i="2"/>
  <c r="S22" i="3"/>
  <c r="T22" i="3" s="1"/>
  <c r="D30" i="3"/>
  <c r="Z30" i="3" s="1"/>
  <c r="F25" i="17" l="1"/>
  <c r="H6" i="2"/>
  <c r="AB6" i="2"/>
  <c r="D22" i="2"/>
  <c r="AB22" i="2" s="1"/>
  <c r="AC22" i="2" s="1"/>
  <c r="AB23" i="2"/>
  <c r="AC23" i="2" s="1"/>
  <c r="AB24" i="2"/>
  <c r="AC24" i="2" s="1"/>
  <c r="H24" i="2"/>
  <c r="D25" i="2"/>
  <c r="AB25" i="2" s="1"/>
  <c r="D31" i="3"/>
  <c r="Z31" i="3" s="1"/>
  <c r="AA31" i="3" l="1"/>
  <c r="AD11" i="3" s="1"/>
  <c r="O16" i="1" s="1"/>
  <c r="AC25" i="2"/>
  <c r="AF11" i="2" s="1"/>
  <c r="O8" i="1" s="1"/>
  <c r="AD9" i="4"/>
  <c r="AD8" i="4"/>
  <c r="AD11" i="4" s="1"/>
  <c r="O64" i="2"/>
  <c r="AC64" i="2" s="1"/>
  <c r="O46" i="2"/>
  <c r="AC46" i="2" s="1"/>
  <c r="O45" i="2"/>
  <c r="AC45" i="2" s="1"/>
  <c r="D35" i="2"/>
  <c r="AB35" i="2" s="1"/>
  <c r="D34" i="2"/>
  <c r="AB34" i="2" s="1"/>
  <c r="O27" i="2"/>
  <c r="D13" i="2"/>
  <c r="AB13" i="2" s="1"/>
  <c r="O33" i="3"/>
  <c r="AA33" i="3" s="1"/>
  <c r="D41" i="3"/>
  <c r="Z41" i="3" s="1"/>
  <c r="D40" i="3"/>
  <c r="Z40" i="3" s="1"/>
  <c r="O69" i="3"/>
  <c r="AA69" i="3" s="1"/>
  <c r="O51" i="3"/>
  <c r="AA51" i="3" s="1"/>
  <c r="O50" i="3"/>
  <c r="AA50" i="3" s="1"/>
  <c r="D14" i="3"/>
  <c r="Z14" i="3" s="1"/>
  <c r="O33" i="2" l="1"/>
  <c r="AC34" i="2"/>
  <c r="AC35" i="2"/>
  <c r="AA41" i="3"/>
  <c r="AA40" i="3"/>
  <c r="AC13" i="2"/>
  <c r="AA14" i="3"/>
  <c r="AC27" i="2"/>
  <c r="X30" i="4"/>
  <c r="O77" i="3"/>
  <c r="AA77" i="3" s="1"/>
  <c r="O72" i="2"/>
  <c r="AC72" i="2" s="1"/>
  <c r="AF8" i="2" s="1"/>
  <c r="O5" i="1" s="1"/>
  <c r="X29" i="4"/>
  <c r="AG11" i="4"/>
  <c r="S14" i="18" s="1"/>
  <c r="D14" i="18" s="1"/>
  <c r="D62" i="2"/>
  <c r="AB62" i="2" s="1"/>
  <c r="D67" i="3"/>
  <c r="Z67" i="3" s="1"/>
  <c r="H14" i="18" l="1"/>
  <c r="AB14" i="18"/>
  <c r="AC14" i="18" s="1"/>
  <c r="AC62" i="2"/>
  <c r="AF7" i="2" s="1"/>
  <c r="O4" i="1" s="1"/>
  <c r="AA67" i="3"/>
  <c r="AD7" i="3" s="1"/>
  <c r="O12" i="1" s="1"/>
  <c r="X35" i="4"/>
  <c r="O20" i="18" s="1"/>
  <c r="D13" i="3"/>
  <c r="Z13" i="3" s="1"/>
  <c r="S12" i="2"/>
  <c r="O47" i="18" l="1"/>
  <c r="AC47" i="18" s="1"/>
  <c r="AC20" i="18"/>
  <c r="O37" i="18"/>
  <c r="AC37" i="18" s="1"/>
  <c r="AA13" i="3"/>
  <c r="O20" i="3"/>
  <c r="O18" i="2"/>
  <c r="O32" i="2" s="1"/>
  <c r="O11" i="2"/>
  <c r="AC11" i="2" s="1"/>
  <c r="O12" i="3"/>
  <c r="AA12" i="3" s="1"/>
  <c r="O89" i="3"/>
  <c r="AA89" i="3" s="1"/>
  <c r="AD8" i="3" s="1"/>
  <c r="O13" i="1" s="1"/>
  <c r="O42" i="2" l="1"/>
  <c r="AC42" i="2" s="1"/>
  <c r="AC18" i="2"/>
  <c r="AC33" i="2"/>
  <c r="AA20" i="3"/>
  <c r="O39" i="3"/>
  <c r="AA39" i="3" s="1"/>
  <c r="AC32" i="2"/>
  <c r="O47" i="3"/>
  <c r="AA47" i="3" s="1"/>
  <c r="O38" i="3"/>
  <c r="AA38" i="3" s="1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12" i="10"/>
  <c r="D14" i="2" l="1"/>
  <c r="AB14" i="2" s="1"/>
  <c r="D15" i="3"/>
  <c r="Z15" i="3" s="1"/>
  <c r="AA15" i="3" l="1"/>
  <c r="AC14" i="2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107" i="10"/>
  <c r="T108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131" i="10"/>
  <c r="T132" i="10"/>
  <c r="T133" i="10"/>
  <c r="T134" i="10"/>
  <c r="T135" i="10"/>
  <c r="T136" i="10"/>
  <c r="T137" i="10"/>
  <c r="T138" i="10"/>
  <c r="T139" i="10"/>
  <c r="T156" i="10"/>
  <c r="T157" i="10"/>
  <c r="T158" i="10"/>
  <c r="T159" i="10"/>
  <c r="T160" i="10"/>
  <c r="T161" i="10"/>
  <c r="T162" i="10"/>
  <c r="T163" i="10"/>
  <c r="T164" i="10"/>
  <c r="T165" i="10"/>
  <c r="T166" i="10"/>
  <c r="T167" i="10"/>
  <c r="T168" i="10"/>
  <c r="T169" i="10"/>
  <c r="T170" i="10"/>
  <c r="T171" i="10"/>
  <c r="T172" i="10"/>
  <c r="T173" i="10"/>
  <c r="T174" i="10"/>
  <c r="T175" i="10"/>
  <c r="T176" i="10"/>
  <c r="T177" i="10"/>
  <c r="T178" i="10"/>
  <c r="T179" i="10"/>
  <c r="T180" i="10"/>
  <c r="T181" i="10"/>
  <c r="T182" i="10"/>
  <c r="T183" i="10"/>
  <c r="T184" i="10"/>
  <c r="T185" i="10"/>
  <c r="T186" i="10"/>
  <c r="T187" i="10"/>
  <c r="T188" i="10"/>
  <c r="T189" i="10"/>
  <c r="T190" i="10"/>
  <c r="T191" i="10"/>
  <c r="T192" i="10"/>
  <c r="T193" i="10"/>
  <c r="T194" i="10"/>
  <c r="T195" i="10"/>
  <c r="T196" i="10"/>
  <c r="T197" i="10"/>
  <c r="T198" i="10"/>
  <c r="T199" i="10"/>
  <c r="T200" i="10"/>
  <c r="T201" i="10"/>
  <c r="T202" i="10"/>
  <c r="T203" i="10"/>
  <c r="T204" i="10"/>
  <c r="T205" i="10"/>
  <c r="T206" i="10"/>
  <c r="T207" i="10"/>
  <c r="T208" i="10"/>
  <c r="T209" i="10"/>
  <c r="T210" i="10"/>
  <c r="T211" i="10"/>
  <c r="T212" i="10"/>
  <c r="T213" i="10"/>
  <c r="T214" i="10"/>
  <c r="T215" i="10"/>
  <c r="T216" i="10"/>
  <c r="T217" i="10"/>
  <c r="T218" i="10"/>
  <c r="T219" i="10"/>
  <c r="T220" i="10"/>
  <c r="T221" i="10"/>
  <c r="T222" i="10"/>
  <c r="T223" i="10"/>
  <c r="T224" i="10"/>
  <c r="T225" i="10"/>
  <c r="T226" i="10"/>
  <c r="T227" i="10"/>
  <c r="T228" i="10"/>
  <c r="T229" i="10"/>
  <c r="T230" i="10"/>
  <c r="T231" i="10"/>
  <c r="T232" i="10"/>
  <c r="T233" i="10"/>
  <c r="T234" i="10"/>
  <c r="T235" i="10"/>
  <c r="T236" i="10"/>
  <c r="T237" i="10"/>
  <c r="T238" i="10"/>
  <c r="T239" i="10"/>
  <c r="T240" i="10"/>
  <c r="T241" i="10"/>
  <c r="T242" i="10"/>
  <c r="T243" i="10"/>
  <c r="T244" i="10"/>
  <c r="T245" i="10"/>
  <c r="T246" i="10"/>
  <c r="T247" i="10"/>
  <c r="T248" i="10"/>
  <c r="T249" i="10"/>
  <c r="T250" i="10"/>
  <c r="T251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169" i="10"/>
  <c r="S170" i="10"/>
  <c r="S171" i="10"/>
  <c r="S172" i="10"/>
  <c r="S173" i="10"/>
  <c r="S174" i="10"/>
  <c r="S175" i="10"/>
  <c r="S176" i="10"/>
  <c r="S177" i="10"/>
  <c r="S178" i="10"/>
  <c r="S179" i="10"/>
  <c r="S180" i="10"/>
  <c r="S181" i="10"/>
  <c r="S182" i="10"/>
  <c r="S183" i="10"/>
  <c r="S184" i="10"/>
  <c r="S185" i="10"/>
  <c r="S186" i="10"/>
  <c r="S187" i="10"/>
  <c r="S188" i="10"/>
  <c r="S189" i="10"/>
  <c r="S190" i="10"/>
  <c r="S191" i="10"/>
  <c r="S192" i="10"/>
  <c r="S193" i="10"/>
  <c r="S194" i="10"/>
  <c r="S195" i="10"/>
  <c r="S196" i="10"/>
  <c r="S197" i="10"/>
  <c r="S198" i="10"/>
  <c r="S199" i="10"/>
  <c r="S200" i="10"/>
  <c r="S201" i="10"/>
  <c r="S202" i="10"/>
  <c r="S203" i="10"/>
  <c r="S204" i="10"/>
  <c r="S205" i="10"/>
  <c r="S206" i="10"/>
  <c r="S207" i="10"/>
  <c r="S208" i="10"/>
  <c r="S209" i="10"/>
  <c r="S210" i="10"/>
  <c r="S211" i="10"/>
  <c r="S212" i="10"/>
  <c r="S213" i="10"/>
  <c r="S214" i="10"/>
  <c r="S215" i="10"/>
  <c r="S216" i="10"/>
  <c r="S217" i="10"/>
  <c r="S218" i="10"/>
  <c r="S219" i="10"/>
  <c r="S220" i="10"/>
  <c r="S221" i="10"/>
  <c r="S222" i="10"/>
  <c r="S223" i="10"/>
  <c r="S224" i="10"/>
  <c r="S225" i="10"/>
  <c r="S226" i="10"/>
  <c r="S227" i="10"/>
  <c r="S228" i="10"/>
  <c r="S229" i="10"/>
  <c r="S230" i="10"/>
  <c r="S231" i="10"/>
  <c r="S232" i="10"/>
  <c r="S233" i="10"/>
  <c r="S234" i="10"/>
  <c r="S235" i="10"/>
  <c r="S236" i="10"/>
  <c r="S237" i="10"/>
  <c r="S238" i="10"/>
  <c r="S239" i="10"/>
  <c r="S240" i="10"/>
  <c r="S241" i="10"/>
  <c r="S242" i="10"/>
  <c r="S243" i="10"/>
  <c r="S244" i="10"/>
  <c r="S245" i="10"/>
  <c r="S246" i="10"/>
  <c r="S247" i="10"/>
  <c r="S248" i="10"/>
  <c r="S249" i="10"/>
  <c r="S250" i="10"/>
  <c r="S251" i="10"/>
  <c r="S12" i="10"/>
  <c r="H14" i="2"/>
  <c r="H15" i="3"/>
  <c r="W13" i="10" l="1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41" i="10"/>
  <c r="W42" i="10"/>
  <c r="W43" i="10"/>
  <c r="W44" i="10"/>
  <c r="W45" i="10"/>
  <c r="W46" i="10"/>
  <c r="W47" i="10"/>
  <c r="W48" i="10"/>
  <c r="W49" i="10"/>
  <c r="W50" i="10"/>
  <c r="W51" i="10"/>
  <c r="W52" i="10"/>
  <c r="W53" i="10"/>
  <c r="W54" i="10"/>
  <c r="W55" i="10"/>
  <c r="W56" i="10"/>
  <c r="W57" i="10"/>
  <c r="W58" i="10"/>
  <c r="W59" i="10"/>
  <c r="W60" i="10"/>
  <c r="W61" i="10"/>
  <c r="W62" i="10"/>
  <c r="W63" i="10"/>
  <c r="W64" i="10"/>
  <c r="W65" i="10"/>
  <c r="W66" i="10"/>
  <c r="W67" i="10"/>
  <c r="W68" i="10"/>
  <c r="W69" i="10"/>
  <c r="W70" i="10"/>
  <c r="W71" i="10"/>
  <c r="W72" i="10"/>
  <c r="W73" i="10"/>
  <c r="W74" i="10"/>
  <c r="W75" i="10"/>
  <c r="W76" i="10"/>
  <c r="W77" i="10"/>
  <c r="W78" i="10"/>
  <c r="W79" i="10"/>
  <c r="W80" i="10"/>
  <c r="W81" i="10"/>
  <c r="W82" i="10"/>
  <c r="W83" i="10"/>
  <c r="W84" i="10"/>
  <c r="W85" i="10"/>
  <c r="W86" i="10"/>
  <c r="W87" i="10"/>
  <c r="W88" i="10"/>
  <c r="W89" i="10"/>
  <c r="W90" i="10"/>
  <c r="W91" i="10"/>
  <c r="W92" i="10"/>
  <c r="W93" i="10"/>
  <c r="W94" i="10"/>
  <c r="W95" i="10"/>
  <c r="W96" i="10"/>
  <c r="W97" i="10"/>
  <c r="W98" i="10"/>
  <c r="W99" i="10"/>
  <c r="W100" i="10"/>
  <c r="W101" i="10"/>
  <c r="W102" i="10"/>
  <c r="W103" i="10"/>
  <c r="W104" i="10"/>
  <c r="W105" i="10"/>
  <c r="W106" i="10"/>
  <c r="W107" i="10"/>
  <c r="W108" i="10"/>
  <c r="W109" i="10"/>
  <c r="W110" i="10"/>
  <c r="W111" i="10"/>
  <c r="W112" i="10"/>
  <c r="W113" i="10"/>
  <c r="W114" i="10"/>
  <c r="W115" i="10"/>
  <c r="W116" i="10"/>
  <c r="W117" i="10"/>
  <c r="W118" i="10"/>
  <c r="W119" i="10"/>
  <c r="W120" i="10"/>
  <c r="W121" i="10"/>
  <c r="W122" i="10"/>
  <c r="W123" i="10"/>
  <c r="W124" i="10"/>
  <c r="W125" i="10"/>
  <c r="W126" i="10"/>
  <c r="W127" i="10"/>
  <c r="W128" i="10"/>
  <c r="W129" i="10"/>
  <c r="W130" i="10"/>
  <c r="W131" i="10"/>
  <c r="W132" i="10"/>
  <c r="W133" i="10"/>
  <c r="W134" i="10"/>
  <c r="W135" i="10"/>
  <c r="W136" i="10"/>
  <c r="W137" i="10"/>
  <c r="W138" i="10"/>
  <c r="W139" i="10"/>
  <c r="W140" i="10"/>
  <c r="W141" i="10"/>
  <c r="W142" i="10"/>
  <c r="W143" i="10"/>
  <c r="W144" i="10"/>
  <c r="W145" i="10"/>
  <c r="W146" i="10"/>
  <c r="W147" i="10"/>
  <c r="W148" i="10"/>
  <c r="W149" i="10"/>
  <c r="W150" i="10"/>
  <c r="W151" i="10"/>
  <c r="W152" i="10"/>
  <c r="W153" i="10"/>
  <c r="W154" i="10"/>
  <c r="W155" i="10"/>
  <c r="W156" i="10"/>
  <c r="W157" i="10"/>
  <c r="W158" i="10"/>
  <c r="W159" i="10"/>
  <c r="W160" i="10"/>
  <c r="W161" i="10"/>
  <c r="W162" i="10"/>
  <c r="W163" i="10"/>
  <c r="W164" i="10"/>
  <c r="W165" i="10"/>
  <c r="W166" i="10"/>
  <c r="W167" i="10"/>
  <c r="W168" i="10"/>
  <c r="W169" i="10"/>
  <c r="W170" i="10"/>
  <c r="W171" i="10"/>
  <c r="W172" i="10"/>
  <c r="W173" i="10"/>
  <c r="W174" i="10"/>
  <c r="W175" i="10"/>
  <c r="W176" i="10"/>
  <c r="W177" i="10"/>
  <c r="W178" i="10"/>
  <c r="W179" i="10"/>
  <c r="W180" i="10"/>
  <c r="W181" i="10"/>
  <c r="W182" i="10"/>
  <c r="W183" i="10"/>
  <c r="W184" i="10"/>
  <c r="W185" i="10"/>
  <c r="W186" i="10"/>
  <c r="W187" i="10"/>
  <c r="W188" i="10"/>
  <c r="W189" i="10"/>
  <c r="W190" i="10"/>
  <c r="W191" i="10"/>
  <c r="W192" i="10"/>
  <c r="W193" i="10"/>
  <c r="W194" i="10"/>
  <c r="W195" i="10"/>
  <c r="W196" i="10"/>
  <c r="W197" i="10"/>
  <c r="W198" i="10"/>
  <c r="W199" i="10"/>
  <c r="W200" i="10"/>
  <c r="W201" i="10"/>
  <c r="W202" i="10"/>
  <c r="W203" i="10"/>
  <c r="W204" i="10"/>
  <c r="W205" i="10"/>
  <c r="W206" i="10"/>
  <c r="W207" i="10"/>
  <c r="W208" i="10"/>
  <c r="W209" i="10"/>
  <c r="W210" i="10"/>
  <c r="W211" i="10"/>
  <c r="W212" i="10"/>
  <c r="W213" i="10"/>
  <c r="W214" i="10"/>
  <c r="W215" i="10"/>
  <c r="W216" i="10"/>
  <c r="W217" i="10"/>
  <c r="W218" i="10"/>
  <c r="W219" i="10"/>
  <c r="W220" i="10"/>
  <c r="W221" i="10"/>
  <c r="W222" i="10"/>
  <c r="W223" i="10"/>
  <c r="W224" i="10"/>
  <c r="W225" i="10"/>
  <c r="W226" i="10"/>
  <c r="W227" i="10"/>
  <c r="W228" i="10"/>
  <c r="W229" i="10"/>
  <c r="W230" i="10"/>
  <c r="W231" i="10"/>
  <c r="W232" i="10"/>
  <c r="W233" i="10"/>
  <c r="W234" i="10"/>
  <c r="W235" i="10"/>
  <c r="W236" i="10"/>
  <c r="W237" i="10"/>
  <c r="W238" i="10"/>
  <c r="W239" i="10"/>
  <c r="W240" i="10"/>
  <c r="W241" i="10"/>
  <c r="W242" i="10"/>
  <c r="W243" i="10"/>
  <c r="W244" i="10"/>
  <c r="W245" i="10"/>
  <c r="W246" i="10"/>
  <c r="W247" i="10"/>
  <c r="W248" i="10"/>
  <c r="W249" i="10"/>
  <c r="W250" i="10"/>
  <c r="W251" i="10"/>
  <c r="W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75" i="10"/>
  <c r="V76" i="10"/>
  <c r="V77" i="10"/>
  <c r="V78" i="10"/>
  <c r="V79" i="10"/>
  <c r="V80" i="10"/>
  <c r="V81" i="10"/>
  <c r="V82" i="10"/>
  <c r="V83" i="10"/>
  <c r="V84" i="10"/>
  <c r="V85" i="10"/>
  <c r="V86" i="10"/>
  <c r="V87" i="10"/>
  <c r="V88" i="10"/>
  <c r="V89" i="10"/>
  <c r="V90" i="10"/>
  <c r="V91" i="10"/>
  <c r="V92" i="10"/>
  <c r="V93" i="10"/>
  <c r="V94" i="10"/>
  <c r="V95" i="10"/>
  <c r="V96" i="10"/>
  <c r="V97" i="10"/>
  <c r="V98" i="10"/>
  <c r="V99" i="10"/>
  <c r="V100" i="10"/>
  <c r="V101" i="10"/>
  <c r="V102" i="10"/>
  <c r="V103" i="10"/>
  <c r="V104" i="10"/>
  <c r="V105" i="10"/>
  <c r="V106" i="10"/>
  <c r="V107" i="10"/>
  <c r="V108" i="10"/>
  <c r="V109" i="10"/>
  <c r="V110" i="10"/>
  <c r="V111" i="10"/>
  <c r="V112" i="10"/>
  <c r="V113" i="10"/>
  <c r="V114" i="10"/>
  <c r="V115" i="10"/>
  <c r="V116" i="10"/>
  <c r="V117" i="10"/>
  <c r="V118" i="10"/>
  <c r="V119" i="10"/>
  <c r="V120" i="10"/>
  <c r="V121" i="10"/>
  <c r="V122" i="10"/>
  <c r="V123" i="10"/>
  <c r="V124" i="10"/>
  <c r="V125" i="10"/>
  <c r="V126" i="10"/>
  <c r="V127" i="10"/>
  <c r="V128" i="10"/>
  <c r="V129" i="10"/>
  <c r="V130" i="10"/>
  <c r="V131" i="10"/>
  <c r="V132" i="10"/>
  <c r="V133" i="10"/>
  <c r="V134" i="10"/>
  <c r="V135" i="10"/>
  <c r="V136" i="10"/>
  <c r="V137" i="10"/>
  <c r="V138" i="10"/>
  <c r="V139" i="10"/>
  <c r="V140" i="10"/>
  <c r="V141" i="10"/>
  <c r="V142" i="10"/>
  <c r="V143" i="10"/>
  <c r="V144" i="10"/>
  <c r="V145" i="10"/>
  <c r="V146" i="10"/>
  <c r="V147" i="10"/>
  <c r="V148" i="10"/>
  <c r="V149" i="10"/>
  <c r="V150" i="10"/>
  <c r="V151" i="10"/>
  <c r="V152" i="10"/>
  <c r="V153" i="10"/>
  <c r="V154" i="10"/>
  <c r="V155" i="10"/>
  <c r="V156" i="10"/>
  <c r="V157" i="10"/>
  <c r="V158" i="10"/>
  <c r="V159" i="10"/>
  <c r="V160" i="10"/>
  <c r="V161" i="10"/>
  <c r="V162" i="10"/>
  <c r="V163" i="10"/>
  <c r="V164" i="10"/>
  <c r="V165" i="10"/>
  <c r="V166" i="10"/>
  <c r="V167" i="10"/>
  <c r="V168" i="10"/>
  <c r="V169" i="10"/>
  <c r="V170" i="10"/>
  <c r="V171" i="10"/>
  <c r="V172" i="10"/>
  <c r="V173" i="10"/>
  <c r="V174" i="10"/>
  <c r="V175" i="10"/>
  <c r="V176" i="10"/>
  <c r="V177" i="10"/>
  <c r="V178" i="10"/>
  <c r="V179" i="10"/>
  <c r="V180" i="10"/>
  <c r="V181" i="10"/>
  <c r="V182" i="10"/>
  <c r="V183" i="10"/>
  <c r="V184" i="10"/>
  <c r="V185" i="10"/>
  <c r="V186" i="10"/>
  <c r="V187" i="10"/>
  <c r="V188" i="10"/>
  <c r="V189" i="10"/>
  <c r="V190" i="10"/>
  <c r="V191" i="10"/>
  <c r="V192" i="10"/>
  <c r="V193" i="10"/>
  <c r="V194" i="10"/>
  <c r="V195" i="10"/>
  <c r="V196" i="10"/>
  <c r="V197" i="10"/>
  <c r="V198" i="10"/>
  <c r="V199" i="10"/>
  <c r="V200" i="10"/>
  <c r="V201" i="10"/>
  <c r="V202" i="10"/>
  <c r="V203" i="10"/>
  <c r="V204" i="10"/>
  <c r="V205" i="10"/>
  <c r="V206" i="10"/>
  <c r="V207" i="10"/>
  <c r="V208" i="10"/>
  <c r="V209" i="10"/>
  <c r="V210" i="10"/>
  <c r="V211" i="10"/>
  <c r="V212" i="10"/>
  <c r="V213" i="10"/>
  <c r="V214" i="10"/>
  <c r="V215" i="10"/>
  <c r="V216" i="10"/>
  <c r="V217" i="10"/>
  <c r="V218" i="10"/>
  <c r="V219" i="10"/>
  <c r="V220" i="10"/>
  <c r="V221" i="10"/>
  <c r="V222" i="10"/>
  <c r="V223" i="10"/>
  <c r="V224" i="10"/>
  <c r="V225" i="10"/>
  <c r="V226" i="10"/>
  <c r="V227" i="10"/>
  <c r="V228" i="10"/>
  <c r="V229" i="10"/>
  <c r="V230" i="10"/>
  <c r="V231" i="10"/>
  <c r="V232" i="10"/>
  <c r="V233" i="10"/>
  <c r="V234" i="10"/>
  <c r="V235" i="10"/>
  <c r="V236" i="10"/>
  <c r="V237" i="10"/>
  <c r="V238" i="10"/>
  <c r="V239" i="10"/>
  <c r="V240" i="10"/>
  <c r="V241" i="10"/>
  <c r="V242" i="10"/>
  <c r="V243" i="10"/>
  <c r="V244" i="10"/>
  <c r="V245" i="10"/>
  <c r="V246" i="10"/>
  <c r="V247" i="10"/>
  <c r="V248" i="10"/>
  <c r="V249" i="10"/>
  <c r="V250" i="10"/>
  <c r="V251" i="10"/>
  <c r="V12" i="10"/>
  <c r="D7" i="2" l="1"/>
  <c r="AB7" i="2" s="1"/>
  <c r="D12" i="2"/>
  <c r="AB12" i="2" s="1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U52" i="10" s="1"/>
  <c r="R53" i="10"/>
  <c r="U53" i="10" s="1"/>
  <c r="R54" i="10"/>
  <c r="U54" i="10" s="1"/>
  <c r="R55" i="10"/>
  <c r="U55" i="10" s="1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U80" i="10" s="1"/>
  <c r="R81" i="10"/>
  <c r="U81" i="10" s="1"/>
  <c r="R82" i="10"/>
  <c r="U82" i="10" s="1"/>
  <c r="R83" i="10"/>
  <c r="U83" i="10" s="1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U108" i="10" s="1"/>
  <c r="R109" i="10"/>
  <c r="U109" i="10" s="1"/>
  <c r="R110" i="10"/>
  <c r="U110" i="10" s="1"/>
  <c r="R111" i="10"/>
  <c r="U111" i="10" s="1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U136" i="10" s="1"/>
  <c r="R137" i="10"/>
  <c r="U137" i="10" s="1"/>
  <c r="R138" i="10"/>
  <c r="U138" i="10" s="1"/>
  <c r="R139" i="10"/>
  <c r="U139" i="10" s="1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" i="10"/>
  <c r="R26" i="10"/>
  <c r="R27" i="10"/>
  <c r="R28" i="10"/>
  <c r="R29" i="10"/>
  <c r="R30" i="10"/>
  <c r="R31" i="10"/>
  <c r="R3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12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176" i="10"/>
  <c r="Q177" i="10"/>
  <c r="Q178" i="10"/>
  <c r="Q179" i="10"/>
  <c r="Q180" i="10"/>
  <c r="Q18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Q205" i="10"/>
  <c r="Q206" i="10"/>
  <c r="Q207" i="10"/>
  <c r="Q208" i="10"/>
  <c r="Q209" i="10"/>
  <c r="Q210" i="10"/>
  <c r="Q211" i="10"/>
  <c r="Q212" i="10"/>
  <c r="Q213" i="10"/>
  <c r="Q214" i="10"/>
  <c r="Q215" i="10"/>
  <c r="Q216" i="10"/>
  <c r="Q217" i="10"/>
  <c r="Q218" i="10"/>
  <c r="Q219" i="10"/>
  <c r="Q220" i="10"/>
  <c r="Q221" i="10"/>
  <c r="Q222" i="10"/>
  <c r="Q223" i="10"/>
  <c r="Q224" i="10"/>
  <c r="Q225" i="10"/>
  <c r="Q226" i="10"/>
  <c r="Q227" i="10"/>
  <c r="Q228" i="10"/>
  <c r="Q229" i="10"/>
  <c r="Q230" i="10"/>
  <c r="Q231" i="10"/>
  <c r="Q232" i="10"/>
  <c r="Q233" i="10"/>
  <c r="Q234" i="10"/>
  <c r="Q235" i="10"/>
  <c r="Q236" i="10"/>
  <c r="Q237" i="10"/>
  <c r="Q238" i="10"/>
  <c r="Q239" i="10"/>
  <c r="Q240" i="10"/>
  <c r="Q241" i="10"/>
  <c r="Q242" i="10"/>
  <c r="Q243" i="10"/>
  <c r="Q244" i="10"/>
  <c r="Q245" i="10"/>
  <c r="Q246" i="10"/>
  <c r="Q247" i="10"/>
  <c r="Q248" i="10"/>
  <c r="Q249" i="10"/>
  <c r="Q250" i="10"/>
  <c r="Q251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2" i="10"/>
  <c r="A12" i="10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C7" i="2" l="1"/>
  <c r="H7" i="2"/>
  <c r="H12" i="2"/>
  <c r="AC12" i="2"/>
  <c r="U251" i="10"/>
  <c r="U28" i="10"/>
  <c r="U239" i="10"/>
  <c r="U20" i="10"/>
  <c r="U227" i="10"/>
  <c r="U215" i="10"/>
  <c r="U203" i="10"/>
  <c r="U191" i="10"/>
  <c r="U179" i="10"/>
  <c r="U167" i="10"/>
  <c r="U16" i="10"/>
  <c r="U243" i="10"/>
  <c r="U231" i="10"/>
  <c r="U155" i="10"/>
  <c r="U143" i="10"/>
  <c r="U131" i="10"/>
  <c r="U119" i="10"/>
  <c r="U107" i="10"/>
  <c r="U95" i="10"/>
  <c r="U71" i="10"/>
  <c r="U59" i="10"/>
  <c r="U47" i="10"/>
  <c r="U35" i="10"/>
  <c r="U250" i="10"/>
  <c r="U214" i="10"/>
  <c r="U202" i="10"/>
  <c r="U190" i="10"/>
  <c r="U178" i="10"/>
  <c r="U166" i="10"/>
  <c r="U154" i="10"/>
  <c r="U142" i="10"/>
  <c r="U130" i="10"/>
  <c r="U118" i="10"/>
  <c r="U106" i="10"/>
  <c r="U94" i="10"/>
  <c r="U46" i="10"/>
  <c r="U34" i="10"/>
  <c r="U226" i="10"/>
  <c r="U238" i="10"/>
  <c r="U12" i="10"/>
  <c r="U19" i="10"/>
  <c r="U27" i="10"/>
  <c r="U242" i="10"/>
  <c r="U230" i="10"/>
  <c r="U218" i="10"/>
  <c r="U206" i="10"/>
  <c r="U194" i="10"/>
  <c r="U182" i="10"/>
  <c r="U170" i="10"/>
  <c r="U158" i="10"/>
  <c r="U146" i="10"/>
  <c r="U134" i="10"/>
  <c r="U122" i="10"/>
  <c r="U98" i="10"/>
  <c r="U86" i="10"/>
  <c r="U74" i="10"/>
  <c r="U62" i="10"/>
  <c r="U50" i="10"/>
  <c r="U38" i="10"/>
  <c r="U18" i="10"/>
  <c r="U26" i="10"/>
  <c r="U241" i="10"/>
  <c r="U229" i="10"/>
  <c r="U217" i="10"/>
  <c r="U205" i="10"/>
  <c r="U193" i="10"/>
  <c r="U181" i="10"/>
  <c r="U169" i="10"/>
  <c r="U157" i="10"/>
  <c r="U145" i="10"/>
  <c r="U133" i="10"/>
  <c r="U121" i="10"/>
  <c r="U97" i="10"/>
  <c r="U85" i="10"/>
  <c r="U73" i="10"/>
  <c r="U61" i="10"/>
  <c r="U49" i="10"/>
  <c r="U37" i="10"/>
  <c r="U17" i="10"/>
  <c r="U25" i="10"/>
  <c r="U240" i="10"/>
  <c r="U228" i="10"/>
  <c r="U216" i="10"/>
  <c r="U204" i="10"/>
  <c r="U192" i="10"/>
  <c r="U180" i="10"/>
  <c r="U168" i="10"/>
  <c r="U156" i="10"/>
  <c r="U144" i="10"/>
  <c r="U132" i="10"/>
  <c r="U120" i="10"/>
  <c r="U96" i="10"/>
  <c r="U84" i="10"/>
  <c r="U72" i="10"/>
  <c r="U60" i="10"/>
  <c r="U48" i="10"/>
  <c r="U36" i="10"/>
  <c r="U70" i="10"/>
  <c r="U14" i="10"/>
  <c r="U249" i="10"/>
  <c r="U237" i="10"/>
  <c r="U225" i="10"/>
  <c r="U213" i="10"/>
  <c r="U201" i="10"/>
  <c r="U189" i="10"/>
  <c r="U177" i="10"/>
  <c r="U165" i="10"/>
  <c r="U153" i="10"/>
  <c r="U141" i="10"/>
  <c r="U129" i="10"/>
  <c r="U117" i="10"/>
  <c r="U105" i="10"/>
  <c r="U93" i="10"/>
  <c r="U69" i="10"/>
  <c r="U57" i="10"/>
  <c r="U45" i="10"/>
  <c r="U33" i="10"/>
  <c r="U13" i="10"/>
  <c r="U248" i="10"/>
  <c r="U236" i="10"/>
  <c r="U224" i="10"/>
  <c r="U212" i="10"/>
  <c r="U200" i="10"/>
  <c r="U188" i="10"/>
  <c r="U176" i="10"/>
  <c r="U164" i="10"/>
  <c r="U152" i="10"/>
  <c r="U140" i="10"/>
  <c r="U128" i="10"/>
  <c r="U116" i="10"/>
  <c r="U104" i="10"/>
  <c r="U92" i="10"/>
  <c r="U68" i="10"/>
  <c r="U56" i="10"/>
  <c r="U44" i="10"/>
  <c r="U58" i="10"/>
  <c r="U24" i="10"/>
  <c r="U32" i="10"/>
  <c r="U247" i="10"/>
  <c r="U235" i="10"/>
  <c r="U223" i="10"/>
  <c r="U211" i="10"/>
  <c r="U199" i="10"/>
  <c r="U187" i="10"/>
  <c r="U175" i="10"/>
  <c r="U163" i="10"/>
  <c r="U151" i="10"/>
  <c r="U127" i="10"/>
  <c r="U115" i="10"/>
  <c r="U103" i="10"/>
  <c r="U91" i="10"/>
  <c r="U79" i="10"/>
  <c r="U67" i="10"/>
  <c r="U43" i="10"/>
  <c r="U15" i="10"/>
  <c r="U23" i="10"/>
  <c r="U31" i="10"/>
  <c r="U246" i="10"/>
  <c r="U234" i="10"/>
  <c r="U222" i="10"/>
  <c r="U210" i="10"/>
  <c r="U198" i="10"/>
  <c r="U186" i="10"/>
  <c r="U174" i="10"/>
  <c r="U162" i="10"/>
  <c r="U150" i="10"/>
  <c r="U126" i="10"/>
  <c r="U114" i="10"/>
  <c r="U102" i="10"/>
  <c r="U90" i="10"/>
  <c r="U78" i="10"/>
  <c r="U66" i="10"/>
  <c r="U42" i="10"/>
  <c r="U22" i="10"/>
  <c r="U30" i="10"/>
  <c r="U245" i="10"/>
  <c r="U233" i="10"/>
  <c r="U221" i="10"/>
  <c r="U209" i="10"/>
  <c r="U197" i="10"/>
  <c r="U185" i="10"/>
  <c r="U173" i="10"/>
  <c r="U161" i="10"/>
  <c r="U149" i="10"/>
  <c r="U125" i="10"/>
  <c r="U113" i="10"/>
  <c r="U101" i="10"/>
  <c r="U89" i="10"/>
  <c r="U77" i="10"/>
  <c r="U65" i="10"/>
  <c r="U41" i="10"/>
  <c r="U21" i="10"/>
  <c r="U29" i="10"/>
  <c r="U244" i="10"/>
  <c r="U232" i="10"/>
  <c r="U220" i="10"/>
  <c r="U208" i="10"/>
  <c r="U196" i="10"/>
  <c r="U184" i="10"/>
  <c r="U172" i="10"/>
  <c r="U160" i="10"/>
  <c r="U148" i="10"/>
  <c r="U124" i="10"/>
  <c r="U112" i="10"/>
  <c r="U100" i="10"/>
  <c r="U88" i="10"/>
  <c r="U76" i="10"/>
  <c r="U64" i="10"/>
  <c r="U40" i="10"/>
  <c r="U219" i="10"/>
  <c r="U207" i="10"/>
  <c r="U195" i="10"/>
  <c r="U183" i="10"/>
  <c r="U171" i="10"/>
  <c r="U159" i="10"/>
  <c r="U147" i="10"/>
  <c r="U135" i="10"/>
  <c r="U123" i="10"/>
  <c r="U99" i="10"/>
  <c r="U87" i="10"/>
  <c r="U75" i="10"/>
  <c r="U63" i="10"/>
  <c r="U51" i="10"/>
  <c r="U39" i="10"/>
  <c r="Q25" i="18" l="1"/>
  <c r="H25" i="18"/>
  <c r="D25" i="18" s="1"/>
  <c r="AK26" i="18"/>
  <c r="D6" i="18"/>
  <c r="H25" i="3"/>
  <c r="D25" i="3" s="1"/>
  <c r="Z25" i="3" s="1"/>
  <c r="D26" i="3"/>
  <c r="Z26" i="3" s="1"/>
  <c r="AA26" i="3" s="1"/>
  <c r="H65" i="2"/>
  <c r="H64" i="2"/>
  <c r="H62" i="2"/>
  <c r="AC47" i="2"/>
  <c r="O41" i="2"/>
  <c r="AC41" i="2" s="1"/>
  <c r="O40" i="2"/>
  <c r="AC40" i="2" s="1"/>
  <c r="H29" i="2"/>
  <c r="O28" i="2"/>
  <c r="AC28" i="2" s="1"/>
  <c r="H25" i="2"/>
  <c r="AB6" i="18" l="1"/>
  <c r="D7" i="18"/>
  <c r="Q6" i="18"/>
  <c r="O6" i="18"/>
  <c r="H6" i="18"/>
  <c r="D24" i="18"/>
  <c r="AB24" i="18" s="1"/>
  <c r="AC24" i="18" s="1"/>
  <c r="AB25" i="18"/>
  <c r="AC25" i="18" s="1"/>
  <c r="AA25" i="3"/>
  <c r="D24" i="3"/>
  <c r="Z24" i="3" s="1"/>
  <c r="H26" i="3"/>
  <c r="H67" i="3"/>
  <c r="H70" i="3"/>
  <c r="H69" i="3"/>
  <c r="AA52" i="3"/>
  <c r="O49" i="3"/>
  <c r="AA49" i="3" s="1"/>
  <c r="O46" i="3"/>
  <c r="AA46" i="3" s="1"/>
  <c r="O45" i="3"/>
  <c r="AA45" i="3" s="1"/>
  <c r="C14" i="1"/>
  <c r="H35" i="3"/>
  <c r="O34" i="3"/>
  <c r="AA34" i="3" s="1"/>
  <c r="H31" i="3"/>
  <c r="O54" i="18" l="1"/>
  <c r="AC54" i="18" s="1"/>
  <c r="O49" i="2"/>
  <c r="AC49" i="2" s="1"/>
  <c r="AB7" i="18"/>
  <c r="AC7" i="18" s="1"/>
  <c r="H7" i="18"/>
  <c r="AC6" i="18"/>
  <c r="O49" i="18"/>
  <c r="AC49" i="18" s="1"/>
  <c r="O21" i="18"/>
  <c r="O65" i="18"/>
  <c r="AC65" i="18" s="1"/>
  <c r="AF10" i="18" s="1"/>
  <c r="O23" i="1" s="1"/>
  <c r="O48" i="18"/>
  <c r="AC48" i="18" s="1"/>
  <c r="O54" i="3"/>
  <c r="O19" i="2"/>
  <c r="AA24" i="3"/>
  <c r="O21" i="3"/>
  <c r="H13" i="3"/>
  <c r="O60" i="2"/>
  <c r="AC60" i="2" s="1"/>
  <c r="AF10" i="2" s="1"/>
  <c r="O43" i="2"/>
  <c r="AC43" i="2" s="1"/>
  <c r="O65" i="3"/>
  <c r="AA65" i="3" s="1"/>
  <c r="AD10" i="3" s="1"/>
  <c r="O44" i="2"/>
  <c r="AC44" i="2" s="1"/>
  <c r="O48" i="3"/>
  <c r="AA48" i="3" s="1"/>
  <c r="AF9" i="18" l="1"/>
  <c r="O22" i="1" s="1"/>
  <c r="O22" i="18"/>
  <c r="AC22" i="18" s="1"/>
  <c r="AC21" i="18"/>
  <c r="AF9" i="2"/>
  <c r="O6" i="1" s="1"/>
  <c r="AC54" i="3"/>
  <c r="AA54" i="3"/>
  <c r="AD9" i="3" s="1"/>
  <c r="O14" i="1" s="1"/>
  <c r="O20" i="2"/>
  <c r="AC20" i="2" s="1"/>
  <c r="AC19" i="2"/>
  <c r="O7" i="1"/>
  <c r="O15" i="1"/>
  <c r="O23" i="3"/>
  <c r="AA23" i="3" s="1"/>
  <c r="AA21" i="3"/>
  <c r="H40" i="3"/>
  <c r="H34" i="2"/>
  <c r="H35" i="2"/>
  <c r="H13" i="2"/>
  <c r="H14" i="3"/>
  <c r="D6" i="3"/>
  <c r="Z6" i="3" s="1"/>
  <c r="Q15" i="1" l="1"/>
  <c r="Q8" i="1"/>
  <c r="AA30" i="3"/>
  <c r="H30" i="3"/>
  <c r="D7" i="3"/>
  <c r="Z7" i="3" s="1"/>
  <c r="D28" i="3"/>
  <c r="Z28" i="3" s="1"/>
  <c r="D29" i="3"/>
  <c r="Z29" i="3" s="1"/>
  <c r="D22" i="3"/>
  <c r="Z22" i="3" s="1"/>
  <c r="Q8" i="3"/>
  <c r="H8" i="3"/>
  <c r="D8" i="3" s="1"/>
  <c r="Z8" i="3" s="1"/>
  <c r="O6" i="3"/>
  <c r="H6" i="3"/>
  <c r="Q6" i="3"/>
  <c r="Q6" i="2"/>
  <c r="O6" i="2"/>
  <c r="AC6" i="2" l="1"/>
  <c r="AD6" i="2" s="1"/>
  <c r="AA8" i="3"/>
  <c r="H22" i="3"/>
  <c r="AA22" i="3"/>
  <c r="H29" i="3"/>
  <c r="AA29" i="3"/>
  <c r="H28" i="3"/>
  <c r="AA28" i="3"/>
  <c r="AF6" i="2"/>
  <c r="AA6" i="3"/>
  <c r="H7" i="3"/>
  <c r="AA7" i="3"/>
  <c r="AB6" i="3" l="1"/>
  <c r="AD6" i="3"/>
  <c r="O11" i="1" s="1"/>
  <c r="O3" i="1"/>
  <c r="H26" i="18" l="1"/>
  <c r="AF6" i="18"/>
  <c r="O19" i="1" s="1"/>
  <c r="AD6" i="18" l="1"/>
  <c r="G16" i="1" s="1"/>
  <c r="K20" i="17" l="1"/>
  <c r="L20" i="17" s="1"/>
  <c r="M20" i="17" s="1"/>
  <c r="N20" i="17" s="1"/>
  <c r="O20" i="17" s="1"/>
  <c r="I20" i="17" s="1"/>
  <c r="J20" i="17" s="1"/>
  <c r="J32" i="17" s="1"/>
  <c r="J37" i="17" l="1"/>
</calcChain>
</file>

<file path=xl/sharedStrings.xml><?xml version="1.0" encoding="utf-8"?>
<sst xmlns="http://schemas.openxmlformats.org/spreadsheetml/2006/main" count="10517" uniqueCount="2457">
  <si>
    <t>견 적 서(Special Edition)</t>
    <phoneticPr fontId="9" type="noConversion"/>
  </si>
  <si>
    <t>주     소  : 서울시 종로구 율곡로 194</t>
    <phoneticPr fontId="9" type="noConversion"/>
  </si>
  <si>
    <t>견적일</t>
    <phoneticPr fontId="9" type="noConversion"/>
  </si>
  <si>
    <t>대표이사  : 조   재   천</t>
    <phoneticPr fontId="9" type="noConversion"/>
  </si>
  <si>
    <t>계약담당 : 김 승 훈</t>
    <phoneticPr fontId="9" type="noConversion"/>
  </si>
  <si>
    <t xml:space="preserve">연 락 처  : H.P.) 010-8002-5506   </t>
    <phoneticPr fontId="9" type="noConversion"/>
  </si>
  <si>
    <t>견적 No.</t>
    <phoneticPr fontId="9" type="noConversion"/>
  </si>
  <si>
    <t xml:space="preserve">                    E-Mail) sh.kim1@hdel.co.kr</t>
    <phoneticPr fontId="1" type="noConversion"/>
  </si>
  <si>
    <t>고객명(상호) 및 견적명</t>
    <phoneticPr fontId="9" type="noConversion"/>
  </si>
  <si>
    <t>현장명 및 현장주소</t>
    <phoneticPr fontId="9" type="noConversion"/>
  </si>
  <si>
    <t xml:space="preserve"> </t>
    <phoneticPr fontId="9" type="noConversion"/>
  </si>
  <si>
    <t>납품주소 : 협의장소</t>
    <phoneticPr fontId="9" type="noConversion"/>
  </si>
  <si>
    <r>
      <t xml:space="preserve">1. </t>
    </r>
    <r>
      <rPr>
        <sz val="11"/>
        <color rgb="FF000000"/>
        <rFont val="돋움"/>
        <family val="3"/>
        <charset val="129"/>
      </rPr>
      <t>견적내역</t>
    </r>
    <phoneticPr fontId="9" type="noConversion"/>
  </si>
  <si>
    <r>
      <t>(</t>
    </r>
    <r>
      <rPr>
        <sz val="10"/>
        <color rgb="FF000000"/>
        <rFont val="돋움"/>
        <family val="3"/>
        <charset val="129"/>
      </rPr>
      <t>단위</t>
    </r>
    <r>
      <rPr>
        <sz val="10"/>
        <color rgb="FF000000"/>
        <rFont val="Arial"/>
        <family val="2"/>
      </rPr>
      <t xml:space="preserve"> : </t>
    </r>
    <r>
      <rPr>
        <sz val="10"/>
        <color rgb="FF000000"/>
        <rFont val="맑은 고딕"/>
        <family val="3"/>
        <charset val="129"/>
      </rPr>
      <t>￦</t>
    </r>
    <r>
      <rPr>
        <sz val="10"/>
        <color rgb="FF000000"/>
        <rFont val="Arial"/>
        <family val="2"/>
      </rPr>
      <t>)</t>
    </r>
    <phoneticPr fontId="9" type="noConversion"/>
  </si>
  <si>
    <t>구분</t>
    <phoneticPr fontId="9" type="noConversion"/>
  </si>
  <si>
    <t>NO.</t>
    <phoneticPr fontId="9" type="noConversion"/>
  </si>
  <si>
    <t>품명</t>
    <phoneticPr fontId="9" type="noConversion"/>
  </si>
  <si>
    <t>호기</t>
  </si>
  <si>
    <t>규격 / 사양</t>
    <phoneticPr fontId="1" type="noConversion"/>
  </si>
  <si>
    <t>단위</t>
  </si>
  <si>
    <t>수량</t>
    <phoneticPr fontId="9" type="noConversion"/>
  </si>
  <si>
    <t>단가</t>
    <phoneticPr fontId="9" type="noConversion"/>
  </si>
  <si>
    <t>금액</t>
    <phoneticPr fontId="9" type="noConversion"/>
  </si>
  <si>
    <t xml:space="preserve">A. 패키지 </t>
    <phoneticPr fontId="9" type="noConversion"/>
  </si>
  <si>
    <t>SE-1</t>
    <phoneticPr fontId="1" type="noConversion"/>
  </si>
  <si>
    <t>ST</t>
    <phoneticPr fontId="1" type="noConversion"/>
  </si>
  <si>
    <t>구성품</t>
    <phoneticPr fontId="1" type="noConversion"/>
  </si>
  <si>
    <t>제어반 ASSY</t>
    <phoneticPr fontId="1" type="noConversion"/>
  </si>
  <si>
    <t>의장 BOARD</t>
    <phoneticPr fontId="1" type="noConversion"/>
  </si>
  <si>
    <t>사각 WHITE DOT 보드만 공급</t>
    <phoneticPr fontId="1" type="noConversion"/>
  </si>
  <si>
    <t>승강로 부품일체</t>
    <phoneticPr fontId="1" type="noConversion"/>
  </si>
  <si>
    <t>FLS,LCD, 승강로램프, 피트스위치</t>
    <phoneticPr fontId="1" type="noConversion"/>
  </si>
  <si>
    <t>CABLE ASSY</t>
    <phoneticPr fontId="1" type="noConversion"/>
  </si>
  <si>
    <t>HARNESS, T-CABLE 일체</t>
    <phoneticPr fontId="1" type="noConversion"/>
  </si>
  <si>
    <t>CAR TOP BOX</t>
    <phoneticPr fontId="1" type="noConversion"/>
  </si>
  <si>
    <t>INTERFACE BD or CONTROLLER</t>
    <phoneticPr fontId="1" type="noConversion"/>
  </si>
  <si>
    <t>기타 잡자재</t>
    <phoneticPr fontId="1" type="noConversion"/>
  </si>
  <si>
    <t>플렉시블,덕트 외</t>
    <phoneticPr fontId="1" type="noConversion"/>
  </si>
  <si>
    <t>소 계</t>
    <phoneticPr fontId="1" type="noConversion"/>
  </si>
  <si>
    <r>
      <rPr>
        <b/>
        <sz val="12"/>
        <color rgb="FF333F4F"/>
        <rFont val="돋움"/>
        <family val="3"/>
        <charset val="129"/>
      </rPr>
      <t>합</t>
    </r>
    <r>
      <rPr>
        <b/>
        <sz val="12"/>
        <color rgb="FF333F4F"/>
        <rFont val="roboto"/>
        <family val="2"/>
      </rPr>
      <t xml:space="preserve">   </t>
    </r>
    <r>
      <rPr>
        <b/>
        <sz val="12"/>
        <color rgb="FF333F4F"/>
        <rFont val="돋움"/>
        <family val="3"/>
        <charset val="129"/>
      </rPr>
      <t>계</t>
    </r>
    <phoneticPr fontId="9" type="noConversion"/>
  </si>
  <si>
    <t>(부가세 별도, 천단위 절사)</t>
    <phoneticPr fontId="9" type="noConversion"/>
  </si>
  <si>
    <r>
      <t xml:space="preserve">[ </t>
    </r>
    <r>
      <rPr>
        <sz val="9"/>
        <color rgb="FF000000"/>
        <rFont val="돋움"/>
        <family val="3"/>
        <charset val="129"/>
      </rPr>
      <t>특</t>
    </r>
    <r>
      <rPr>
        <sz val="9"/>
        <color rgb="FF000000"/>
        <rFont val="roboto"/>
        <family val="2"/>
      </rPr>
      <t xml:space="preserve"> </t>
    </r>
    <r>
      <rPr>
        <sz val="9"/>
        <color rgb="FF000000"/>
        <rFont val="돋움"/>
        <family val="3"/>
        <charset val="129"/>
      </rPr>
      <t>기</t>
    </r>
    <r>
      <rPr>
        <sz val="9"/>
        <color rgb="FF000000"/>
        <rFont val="roboto"/>
        <family val="2"/>
      </rPr>
      <t xml:space="preserve"> </t>
    </r>
    <r>
      <rPr>
        <sz val="9"/>
        <color rgb="FF000000"/>
        <rFont val="돋움"/>
        <family val="3"/>
        <charset val="129"/>
      </rPr>
      <t>사</t>
    </r>
    <r>
      <rPr>
        <sz val="9"/>
        <color rgb="FF000000"/>
        <rFont val="roboto"/>
        <family val="2"/>
      </rPr>
      <t xml:space="preserve"> </t>
    </r>
    <r>
      <rPr>
        <sz val="9"/>
        <color rgb="FF000000"/>
        <rFont val="돋움"/>
        <family val="3"/>
        <charset val="129"/>
      </rPr>
      <t>항</t>
    </r>
    <r>
      <rPr>
        <sz val="9"/>
        <color rgb="FF000000"/>
        <rFont val="roboto"/>
        <family val="2"/>
      </rPr>
      <t xml:space="preserve"> ]</t>
    </r>
    <phoneticPr fontId="9" type="noConversion"/>
  </si>
  <si>
    <t>* 전기의장품은 보드만 공급됩니다.</t>
    <phoneticPr fontId="1" type="noConversion"/>
  </si>
  <si>
    <r>
      <rPr>
        <sz val="10"/>
        <color rgb="FF000000"/>
        <rFont val="맑은 고딕"/>
        <family val="3"/>
        <charset val="129"/>
      </rPr>
      <t>※</t>
    </r>
    <r>
      <rPr>
        <sz val="10"/>
        <color rgb="FF000000"/>
        <rFont val="roboto"/>
        <family val="3"/>
        <charset val="129"/>
      </rPr>
      <t xml:space="preserve"> OH,PIT,TRAVEL HEGHT 변경에 따라 가격변동이 발생 할 수 있음</t>
    </r>
    <phoneticPr fontId="1" type="noConversion"/>
  </si>
  <si>
    <t>1. 본 견적의 유효기간은 견적일로부터 30일 입니다.</t>
    <phoneticPr fontId="9" type="noConversion"/>
  </si>
  <si>
    <t>2. 지불조건은 현금입니다.</t>
    <phoneticPr fontId="9" type="noConversion"/>
  </si>
  <si>
    <t>3. 업무수행에 필요한 제반사항은 당사 승강기부품 제작공급 계약서에 따릅니다.</t>
    <phoneticPr fontId="1" type="noConversion"/>
  </si>
  <si>
    <r>
      <rPr>
        <b/>
        <sz val="11"/>
        <rFont val="돋움"/>
        <family val="3"/>
        <charset val="129"/>
      </rPr>
      <t>발주확인</t>
    </r>
    <r>
      <rPr>
        <b/>
        <sz val="11"/>
        <rFont val="roboto"/>
        <family val="2"/>
      </rPr>
      <t xml:space="preserve"> </t>
    </r>
    <r>
      <rPr>
        <b/>
        <sz val="11"/>
        <rFont val="돋움"/>
        <family val="3"/>
        <charset val="129"/>
      </rPr>
      <t>및</t>
    </r>
    <r>
      <rPr>
        <b/>
        <sz val="11"/>
        <rFont val="roboto"/>
        <family val="2"/>
      </rPr>
      <t xml:space="preserve"> </t>
    </r>
    <r>
      <rPr>
        <b/>
        <sz val="11"/>
        <rFont val="돋움"/>
        <family val="3"/>
        <charset val="129"/>
      </rPr>
      <t>승낙서</t>
    </r>
    <phoneticPr fontId="9" type="noConversion"/>
  </si>
  <si>
    <r>
      <t xml:space="preserve">1) </t>
    </r>
    <r>
      <rPr>
        <sz val="11"/>
        <rFont val="돋움"/>
        <family val="3"/>
        <charset val="129"/>
      </rPr>
      <t>상기 사항을 확인하였으며, 발주를 요청합니다.</t>
    </r>
    <phoneticPr fontId="9" type="noConversion"/>
  </si>
  <si>
    <r>
      <rPr>
        <sz val="11"/>
        <rFont val="Segoe UI Symbol"/>
        <family val="3"/>
      </rPr>
      <t>□</t>
    </r>
    <r>
      <rPr>
        <sz val="11"/>
        <rFont val="roboto"/>
        <family val="2"/>
      </rPr>
      <t xml:space="preserve"> </t>
    </r>
    <r>
      <rPr>
        <sz val="11"/>
        <rFont val="돋움"/>
        <family val="3"/>
        <charset val="129"/>
      </rPr>
      <t>발주자</t>
    </r>
    <r>
      <rPr>
        <sz val="11"/>
        <rFont val="roboto"/>
        <family val="2"/>
      </rPr>
      <t xml:space="preserve"> </t>
    </r>
    <r>
      <rPr>
        <sz val="11"/>
        <rFont val="돋움"/>
        <family val="3"/>
        <charset val="129"/>
      </rPr>
      <t>확인</t>
    </r>
    <phoneticPr fontId="9" type="noConversion"/>
  </si>
  <si>
    <r>
      <t xml:space="preserve">2) </t>
    </r>
    <r>
      <rPr>
        <sz val="11"/>
        <rFont val="돋움"/>
        <family val="3"/>
        <charset val="129"/>
      </rPr>
      <t>발주확정금액</t>
    </r>
    <r>
      <rPr>
        <sz val="11"/>
        <rFont val="roboto"/>
        <family val="2"/>
      </rPr>
      <t xml:space="preserve"> :     </t>
    </r>
    <r>
      <rPr>
        <u/>
        <sz val="11"/>
        <rFont val="roboto"/>
        <family val="2"/>
      </rPr>
      <t xml:space="preserve">                                            </t>
    </r>
    <r>
      <rPr>
        <u/>
        <sz val="11"/>
        <rFont val="돋움"/>
        <family val="3"/>
        <charset val="129"/>
      </rPr>
      <t>원정</t>
    </r>
    <r>
      <rPr>
        <sz val="11"/>
        <rFont val="roboto"/>
        <family val="2"/>
      </rPr>
      <t xml:space="preserve"> (VAT</t>
    </r>
    <r>
      <rPr>
        <sz val="11"/>
        <rFont val="돋움"/>
        <family val="3"/>
        <charset val="129"/>
      </rPr>
      <t>별도</t>
    </r>
    <r>
      <rPr>
        <sz val="11"/>
        <rFont val="roboto"/>
        <family val="2"/>
      </rPr>
      <t>)</t>
    </r>
    <phoneticPr fontId="9" type="noConversion"/>
  </si>
  <si>
    <t>발  주  일</t>
  </si>
  <si>
    <r>
      <t xml:space="preserve">3) </t>
    </r>
    <r>
      <rPr>
        <sz val="11"/>
        <rFont val="돋움"/>
        <family val="3"/>
        <charset val="129"/>
      </rPr>
      <t>납기</t>
    </r>
    <r>
      <rPr>
        <sz val="11"/>
        <rFont val="roboto"/>
        <family val="2"/>
      </rPr>
      <t xml:space="preserve"> </t>
    </r>
    <r>
      <rPr>
        <sz val="11"/>
        <rFont val="돋움"/>
        <family val="3"/>
        <charset val="129"/>
      </rPr>
      <t>요청일</t>
    </r>
    <r>
      <rPr>
        <sz val="11"/>
        <rFont val="roboto"/>
        <family val="2"/>
      </rPr>
      <t xml:space="preserve"> :              </t>
    </r>
    <r>
      <rPr>
        <sz val="11"/>
        <rFont val="돋움"/>
        <family val="3"/>
        <charset val="129"/>
      </rPr>
      <t>년</t>
    </r>
    <r>
      <rPr>
        <sz val="11"/>
        <rFont val="roboto"/>
        <family val="2"/>
      </rPr>
      <t xml:space="preserve">           </t>
    </r>
    <r>
      <rPr>
        <sz val="11"/>
        <rFont val="돋움"/>
        <family val="3"/>
        <charset val="129"/>
      </rPr>
      <t>월</t>
    </r>
    <r>
      <rPr>
        <sz val="11"/>
        <rFont val="roboto"/>
        <family val="2"/>
      </rPr>
      <t xml:space="preserve">          </t>
    </r>
    <r>
      <rPr>
        <sz val="11"/>
        <rFont val="돋움"/>
        <family val="3"/>
        <charset val="129"/>
      </rPr>
      <t>일</t>
    </r>
    <phoneticPr fontId="9" type="noConversion"/>
  </si>
  <si>
    <r>
      <rPr>
        <sz val="11"/>
        <rFont val="돋움"/>
        <family val="3"/>
        <charset val="129"/>
      </rPr>
      <t>직</t>
    </r>
    <r>
      <rPr>
        <sz val="11"/>
        <rFont val="roboto"/>
        <family val="2"/>
      </rPr>
      <t xml:space="preserve">       </t>
    </r>
    <r>
      <rPr>
        <sz val="11"/>
        <rFont val="돋움"/>
        <family val="3"/>
        <charset val="129"/>
      </rPr>
      <t>위</t>
    </r>
    <phoneticPr fontId="9" type="noConversion"/>
  </si>
  <si>
    <r>
      <t xml:space="preserve">4) </t>
    </r>
    <r>
      <rPr>
        <sz val="11"/>
        <rFont val="돋움"/>
        <family val="3"/>
        <charset val="129"/>
      </rPr>
      <t>대금지불은</t>
    </r>
    <r>
      <rPr>
        <sz val="11"/>
        <rFont val="roboto"/>
        <family val="2"/>
      </rPr>
      <t xml:space="preserve"> 청구</t>
    </r>
    <r>
      <rPr>
        <sz val="11"/>
        <rFont val="돋움"/>
        <family val="3"/>
        <charset val="129"/>
      </rPr>
      <t>일로부터</t>
    </r>
    <r>
      <rPr>
        <sz val="11"/>
        <rFont val="roboto"/>
        <family val="2"/>
      </rPr>
      <t xml:space="preserve"> (   30    )</t>
    </r>
    <r>
      <rPr>
        <sz val="11"/>
        <rFont val="돋움"/>
        <family val="3"/>
        <charset val="129"/>
      </rPr>
      <t>일</t>
    </r>
    <r>
      <rPr>
        <sz val="11"/>
        <rFont val="roboto"/>
        <family val="2"/>
      </rPr>
      <t xml:space="preserve"> </t>
    </r>
    <r>
      <rPr>
        <sz val="11"/>
        <rFont val="돋움"/>
        <family val="3"/>
        <charset val="129"/>
      </rPr>
      <t>이내</t>
    </r>
    <r>
      <rPr>
        <sz val="11"/>
        <rFont val="roboto"/>
        <family val="2"/>
      </rPr>
      <t xml:space="preserve"> </t>
    </r>
    <r>
      <rPr>
        <sz val="11"/>
        <rFont val="돋움"/>
        <family val="3"/>
        <charset val="129"/>
      </rPr>
      <t>현금지급</t>
    </r>
    <phoneticPr fontId="9" type="noConversion"/>
  </si>
  <si>
    <r>
      <rPr>
        <sz val="11"/>
        <rFont val="돋움"/>
        <family val="3"/>
        <charset val="129"/>
      </rPr>
      <t>발</t>
    </r>
    <r>
      <rPr>
        <sz val="11"/>
        <rFont val="roboto"/>
        <family val="2"/>
      </rPr>
      <t xml:space="preserve">  </t>
    </r>
    <r>
      <rPr>
        <sz val="11"/>
        <rFont val="돋움"/>
        <family val="3"/>
        <charset val="129"/>
      </rPr>
      <t>주</t>
    </r>
    <r>
      <rPr>
        <sz val="11"/>
        <rFont val="roboto"/>
        <family val="2"/>
      </rPr>
      <t xml:space="preserve">  </t>
    </r>
    <r>
      <rPr>
        <sz val="11"/>
        <rFont val="돋움"/>
        <family val="3"/>
        <charset val="129"/>
      </rPr>
      <t>일</t>
    </r>
    <phoneticPr fontId="9" type="noConversion"/>
  </si>
  <si>
    <r>
      <t xml:space="preserve">5) </t>
    </r>
    <r>
      <rPr>
        <sz val="11"/>
        <rFont val="돋움"/>
        <family val="3"/>
        <charset val="129"/>
      </rPr>
      <t>기타사항</t>
    </r>
    <r>
      <rPr>
        <sz val="11"/>
        <rFont val="roboto"/>
        <family val="2"/>
      </rPr>
      <t xml:space="preserve"> :</t>
    </r>
    <phoneticPr fontId="9" type="noConversion"/>
  </si>
  <si>
    <r>
      <rPr>
        <sz val="11"/>
        <rFont val="돋움"/>
        <family val="3"/>
        <charset val="129"/>
      </rPr>
      <t>성</t>
    </r>
    <r>
      <rPr>
        <sz val="11"/>
        <rFont val="roboto"/>
        <family val="2"/>
      </rPr>
      <t xml:space="preserve">       </t>
    </r>
    <r>
      <rPr>
        <sz val="11"/>
        <rFont val="돋움"/>
        <family val="3"/>
        <charset val="129"/>
      </rPr>
      <t>명</t>
    </r>
    <phoneticPr fontId="9" type="noConversion"/>
  </si>
  <si>
    <t>1. TM 및 건축 사양</t>
    <phoneticPr fontId="1" type="noConversion"/>
  </si>
  <si>
    <t>2. 제어반 사양</t>
    <phoneticPr fontId="1" type="noConversion"/>
  </si>
  <si>
    <t>3. 전장품 사양 및 옵션</t>
    <phoneticPr fontId="1" type="noConversion"/>
  </si>
  <si>
    <t>건축 사양</t>
    <phoneticPr fontId="1" type="noConversion"/>
  </si>
  <si>
    <t>DATA 입력</t>
    <phoneticPr fontId="1" type="noConversion"/>
  </si>
  <si>
    <t>제어 사양</t>
    <phoneticPr fontId="1" type="noConversion"/>
  </si>
  <si>
    <t>선택</t>
    <phoneticPr fontId="1" type="noConversion"/>
  </si>
  <si>
    <t>전장류 BD</t>
    <phoneticPr fontId="1" type="noConversion"/>
  </si>
  <si>
    <t>수량(입력)</t>
    <phoneticPr fontId="1" type="noConversion"/>
  </si>
  <si>
    <t>MR</t>
    <phoneticPr fontId="1" type="noConversion"/>
  </si>
  <si>
    <t>입력</t>
    <phoneticPr fontId="1" type="noConversion"/>
  </si>
  <si>
    <t>TM MODEL명</t>
    <phoneticPr fontId="1" type="noConversion"/>
  </si>
  <si>
    <t>MR/MRL</t>
    <phoneticPr fontId="1" type="noConversion"/>
  </si>
  <si>
    <t>COP 사각형 DOT</t>
  </si>
  <si>
    <t>모터 용량 (KW)</t>
    <phoneticPr fontId="1" type="noConversion"/>
  </si>
  <si>
    <t>제어반 재질</t>
    <phoneticPr fontId="1" type="noConversion"/>
  </si>
  <si>
    <t>HIP 사각형 DOT</t>
  </si>
  <si>
    <t>모터 전류치 (A)</t>
    <phoneticPr fontId="1" type="noConversion"/>
  </si>
  <si>
    <t>INVERTER 타입</t>
    <phoneticPr fontId="1" type="noConversion"/>
  </si>
  <si>
    <t>일반형</t>
  </si>
  <si>
    <t>HPB</t>
    <phoneticPr fontId="1" type="noConversion"/>
  </si>
  <si>
    <t>건물 층수</t>
    <phoneticPr fontId="1" type="noConversion"/>
  </si>
  <si>
    <t>출입구 높이(MRL 제어반)</t>
    <phoneticPr fontId="1" type="noConversion"/>
  </si>
  <si>
    <t>HPI 사각형 DOT</t>
  </si>
  <si>
    <t>창성 관리비용</t>
    <phoneticPr fontId="1" type="noConversion"/>
  </si>
  <si>
    <t>엘리베이터 속도</t>
    <phoneticPr fontId="1" type="noConversion"/>
  </si>
  <si>
    <t>장애인용</t>
    <phoneticPr fontId="1" type="noConversion"/>
  </si>
  <si>
    <t>CPI 사각형 DOT</t>
  </si>
  <si>
    <t>모터 정격 전압</t>
    <phoneticPr fontId="1" type="noConversion"/>
  </si>
  <si>
    <t>관통형</t>
    <phoneticPr fontId="1" type="noConversion"/>
  </si>
  <si>
    <t>NO</t>
  </si>
  <si>
    <t>장애인 COP</t>
    <phoneticPr fontId="1" type="noConversion"/>
  </si>
  <si>
    <t>옵션</t>
    <phoneticPr fontId="1" type="noConversion"/>
  </si>
  <si>
    <t>GROUP 운전</t>
    <phoneticPr fontId="1" type="noConversion"/>
  </si>
  <si>
    <t>H.LANTERN</t>
    <phoneticPr fontId="1" type="noConversion"/>
  </si>
  <si>
    <t>필요시 입력</t>
    <phoneticPr fontId="1" type="noConversion"/>
  </si>
  <si>
    <t>OVER HEAD</t>
    <phoneticPr fontId="1" type="noConversion"/>
  </si>
  <si>
    <t>MRL 도어 방향</t>
    <phoneticPr fontId="1" type="noConversion"/>
  </si>
  <si>
    <t>RIGHT HINGE</t>
  </si>
  <si>
    <t>비상통화장치 당사적용</t>
    <phoneticPr fontId="1" type="noConversion"/>
  </si>
  <si>
    <t>N</t>
  </si>
  <si>
    <t>MRL</t>
    <phoneticPr fontId="1" type="noConversion"/>
  </si>
  <si>
    <t>TRAVEL</t>
    <phoneticPr fontId="1" type="noConversion"/>
  </si>
  <si>
    <t>TM ENCODER TYPE</t>
    <phoneticPr fontId="1" type="noConversion"/>
  </si>
  <si>
    <t>INCREMENTAL</t>
  </si>
  <si>
    <t xml:space="preserve">JOB SITE TOOL </t>
    <phoneticPr fontId="1" type="noConversion"/>
  </si>
  <si>
    <t>PIT</t>
    <phoneticPr fontId="1" type="noConversion"/>
  </si>
  <si>
    <t>도어 인버터 전원</t>
    <phoneticPr fontId="1" type="noConversion"/>
  </si>
  <si>
    <t>AC 220V</t>
  </si>
  <si>
    <t>T-CABLE 사양</t>
    <phoneticPr fontId="1" type="noConversion"/>
  </si>
  <si>
    <t>표준형</t>
  </si>
  <si>
    <t>자동입력</t>
    <phoneticPr fontId="1" type="noConversion"/>
  </si>
  <si>
    <t>TOTAL HEIGHT</t>
    <phoneticPr fontId="1" type="noConversion"/>
  </si>
  <si>
    <t>ROPE BRAKE</t>
    <phoneticPr fontId="1" type="noConversion"/>
  </si>
  <si>
    <t>ROPE GRIPPER</t>
  </si>
  <si>
    <t>CCTV CABLE</t>
    <phoneticPr fontId="1" type="noConversion"/>
  </si>
  <si>
    <t>도어모터 + 엔코더</t>
    <phoneticPr fontId="1" type="noConversion"/>
  </si>
  <si>
    <t>INVETER 용량</t>
    <phoneticPr fontId="1" type="noConversion"/>
  </si>
  <si>
    <t>판매가(시행율 100%)</t>
    <phoneticPr fontId="1" type="noConversion"/>
  </si>
  <si>
    <t>영진옵션(안전탑승,에스코드,범죄예방)</t>
    <phoneticPr fontId="1" type="noConversion"/>
  </si>
  <si>
    <t>성광옵션</t>
    <phoneticPr fontId="1" type="noConversion"/>
  </si>
  <si>
    <t>사양</t>
    <phoneticPr fontId="1" type="noConversion"/>
  </si>
  <si>
    <t>4.  운송 지역</t>
    <phoneticPr fontId="1" type="noConversion"/>
  </si>
  <si>
    <t>WBSS</t>
    <phoneticPr fontId="1" type="noConversion"/>
  </si>
  <si>
    <t>수배관련 202619L02현장 참고하여 작성</t>
    <phoneticPr fontId="1" type="noConversion"/>
  </si>
  <si>
    <t>변경</t>
  </si>
  <si>
    <t>Level</t>
  </si>
  <si>
    <t>공사/파트 번호</t>
  </si>
  <si>
    <t>seq</t>
  </si>
  <si>
    <t>버전</t>
  </si>
  <si>
    <t>공사/파트 명</t>
  </si>
  <si>
    <t>G/L CODE</t>
  </si>
  <si>
    <t>오더</t>
  </si>
  <si>
    <t>품목구분</t>
  </si>
  <si>
    <t>Block No</t>
  </si>
  <si>
    <t>내/외작</t>
  </si>
  <si>
    <t>사급</t>
  </si>
  <si>
    <t>수정</t>
  </si>
  <si>
    <t>수량</t>
  </si>
  <si>
    <t>공사수량</t>
  </si>
  <si>
    <t>주석</t>
  </si>
  <si>
    <t>공사주석</t>
  </si>
  <si>
    <t>전용</t>
  </si>
  <si>
    <t>SPEC</t>
  </si>
  <si>
    <t>SIZE</t>
  </si>
  <si>
    <t>특별조달유형</t>
  </si>
  <si>
    <t>BOM등록자</t>
  </si>
  <si>
    <t>별도자재</t>
  </si>
  <si>
    <t>단가</t>
    <phoneticPr fontId="1" type="noConversion"/>
  </si>
  <si>
    <t>금액</t>
    <phoneticPr fontId="1" type="noConversion"/>
  </si>
  <si>
    <t>합계</t>
    <phoneticPr fontId="1" type="noConversion"/>
  </si>
  <si>
    <t>CP ASSY (내작)</t>
    <phoneticPr fontId="1" type="noConversion"/>
  </si>
  <si>
    <t>조명석</t>
    <phoneticPr fontId="1" type="noConversion"/>
  </si>
  <si>
    <t xml:space="preserve"> 제어반</t>
    <phoneticPr fontId="1" type="noConversion"/>
  </si>
  <si>
    <t>CP ASSY (외주)</t>
    <phoneticPr fontId="1" type="noConversion"/>
  </si>
  <si>
    <t>카탑</t>
    <phoneticPr fontId="1" type="noConversion"/>
  </si>
  <si>
    <t>CABINET ASSY</t>
    <phoneticPr fontId="1" type="noConversion"/>
  </si>
  <si>
    <t>의장보드</t>
    <phoneticPr fontId="1" type="noConversion"/>
  </si>
  <si>
    <t>20400790G0200</t>
  </si>
  <si>
    <t>USAF BOARD</t>
  </si>
  <si>
    <t>20400790G02</t>
  </si>
  <si>
    <t>WBLX-SE,WBSS-SE</t>
  </si>
  <si>
    <t>케이블</t>
    <phoneticPr fontId="1" type="noConversion"/>
  </si>
  <si>
    <t>20400900G0500</t>
  </si>
  <si>
    <t>VCON BOARD</t>
  </si>
  <si>
    <t>20400900G05</t>
  </si>
  <si>
    <t>WBLX-SE, WBSS-SE</t>
  </si>
  <si>
    <t>승강로부품</t>
    <phoneticPr fontId="1" type="noConversion"/>
  </si>
  <si>
    <t>20411025G0100</t>
    <phoneticPr fontId="1" type="noConversion"/>
  </si>
  <si>
    <t>HHT</t>
  </si>
  <si>
    <t>20411025G01</t>
  </si>
  <si>
    <t>HHT</t>
    <phoneticPr fontId="1" type="noConversion"/>
  </si>
  <si>
    <t>FLS</t>
    <phoneticPr fontId="1" type="noConversion"/>
  </si>
  <si>
    <t>259D0202G0500</t>
    <phoneticPr fontId="1" type="noConversion"/>
  </si>
  <si>
    <t>GROUP CABLE</t>
    <phoneticPr fontId="1" type="noConversion"/>
  </si>
  <si>
    <t>외작(ROH)</t>
  </si>
  <si>
    <t>15 MR</t>
    <phoneticPr fontId="1" type="noConversion"/>
  </si>
  <si>
    <t>MCCB</t>
    <phoneticPr fontId="1" type="noConversion"/>
  </si>
  <si>
    <t>TERMINAL LUG</t>
    <phoneticPr fontId="1" type="noConversion"/>
  </si>
  <si>
    <t>TRANSFORMER</t>
    <phoneticPr fontId="1" type="noConversion"/>
  </si>
  <si>
    <t>20410485G0500</t>
    <phoneticPr fontId="1" type="noConversion"/>
  </si>
  <si>
    <t>ELD OPT ASSY (현대 ELD)</t>
    <phoneticPr fontId="1" type="noConversion"/>
  </si>
  <si>
    <t>20410485G05</t>
  </si>
  <si>
    <t>HX001064H0400</t>
    <phoneticPr fontId="1" type="noConversion"/>
  </si>
  <si>
    <t>CP NAME PLATE</t>
    <phoneticPr fontId="1" type="noConversion"/>
  </si>
  <si>
    <t>HX001064H04</t>
    <phoneticPr fontId="1" type="noConversion"/>
  </si>
  <si>
    <t>28500005G0100</t>
    <phoneticPr fontId="1" type="noConversion"/>
  </si>
  <si>
    <t>LOAD SENSOR</t>
    <phoneticPr fontId="1" type="noConversion"/>
  </si>
  <si>
    <t>28500005G01</t>
    <phoneticPr fontId="1" type="noConversion"/>
  </si>
  <si>
    <t>42</t>
  </si>
  <si>
    <t>20410326G0200</t>
    <phoneticPr fontId="1" type="noConversion"/>
  </si>
  <si>
    <t>0</t>
  </si>
  <si>
    <t>BYPASS BUZZER</t>
  </si>
  <si>
    <t>20410326G02</t>
  </si>
  <si>
    <t>BUY</t>
  </si>
  <si>
    <t>1</t>
  </si>
  <si>
    <t>244A</t>
  </si>
  <si>
    <t>WBVF, LOCATION=CAR BOTTOM</t>
  </si>
  <si>
    <t>220</t>
  </si>
  <si>
    <t>EA</t>
  </si>
  <si>
    <t>20401194G3000</t>
    <phoneticPr fontId="9" type="noConversion"/>
  </si>
  <si>
    <t>HALL PWR OPT ASSY</t>
  </si>
  <si>
    <t>20401194G30</t>
    <phoneticPr fontId="9" type="noConversion"/>
  </si>
  <si>
    <t>204B20</t>
  </si>
  <si>
    <t>외작(roh)</t>
  </si>
  <si>
    <t xml:space="preserve">
</t>
  </si>
  <si>
    <t>UNDER 12A, BELOW 30FL</t>
  </si>
  <si>
    <t>WITH BOX</t>
  </si>
  <si>
    <t>20400955G0200</t>
  </si>
  <si>
    <t>FR OPT ASSY</t>
  </si>
  <si>
    <t>20400955G02</t>
  </si>
  <si>
    <t>204B08</t>
  </si>
  <si>
    <t>FOR EMERGENCY (EN81-A3)</t>
  </si>
  <si>
    <t>ELD</t>
    <phoneticPr fontId="1" type="noConversion"/>
  </si>
  <si>
    <t>인버터 용량</t>
    <phoneticPr fontId="1" type="noConversion"/>
  </si>
  <si>
    <t>20600093G0100</t>
    <phoneticPr fontId="9" type="noConversion"/>
  </si>
  <si>
    <t>PC BOARD</t>
  </si>
  <si>
    <t>20600093G01</t>
  </si>
  <si>
    <t>206A</t>
  </si>
  <si>
    <t>ELD RST SENSING BOARD</t>
  </si>
  <si>
    <t>INVERTER (내작)</t>
    <phoneticPr fontId="1" type="noConversion"/>
  </si>
  <si>
    <t>INVERTER (외주)</t>
    <phoneticPr fontId="1" type="noConversion"/>
  </si>
  <si>
    <t>PIM/IPM</t>
    <phoneticPr fontId="1" type="noConversion"/>
  </si>
  <si>
    <t>20411328G0100</t>
    <phoneticPr fontId="1" type="noConversion"/>
  </si>
  <si>
    <t>CP MANUAL</t>
    <phoneticPr fontId="1" type="noConversion"/>
  </si>
  <si>
    <t>20411328G01</t>
    <phoneticPr fontId="1" type="noConversion"/>
  </si>
  <si>
    <t>김승훈</t>
    <phoneticPr fontId="1" type="noConversion"/>
  </si>
  <si>
    <t>추가 20231101</t>
    <phoneticPr fontId="1" type="noConversion"/>
  </si>
  <si>
    <t>ELD CABLE ASSY</t>
    <phoneticPr fontId="1" type="noConversion"/>
  </si>
  <si>
    <t>ELD HARNESS CABLE ASSY</t>
    <phoneticPr fontId="1" type="noConversion"/>
  </si>
  <si>
    <t>RESISTOR BOX</t>
    <phoneticPr fontId="1" type="noConversion"/>
  </si>
  <si>
    <t>263</t>
  </si>
  <si>
    <t>FLS ASSY</t>
  </si>
  <si>
    <t>241A</t>
  </si>
  <si>
    <t>* IP x3 LIMIT SW 적용
* KS 케이블 적용</t>
  </si>
  <si>
    <t>18K RAIL, 90M/MIN</t>
  </si>
  <si>
    <t>.</t>
  </si>
  <si>
    <t>264</t>
  </si>
  <si>
    <t>24200129G0200</t>
  </si>
  <si>
    <t>LCD ASSY</t>
  </si>
  <si>
    <t>24200129G02</t>
  </si>
  <si>
    <t>242A</t>
  </si>
  <si>
    <t>WBLX, WBSS1 (RAIL TYPE)</t>
  </si>
  <si>
    <t>4MR</t>
  </si>
  <si>
    <t>265</t>
  </si>
  <si>
    <t>24200128G0200</t>
  </si>
  <si>
    <t>LCD VANE ASSY</t>
  </si>
  <si>
    <t>24200128G02</t>
  </si>
  <si>
    <t>242A01</t>
  </si>
  <si>
    <t>8~18K RAIL</t>
    <phoneticPr fontId="1" type="noConversion"/>
  </si>
  <si>
    <t>STOP</t>
  </si>
  <si>
    <t>13K,18K RAIL</t>
  </si>
  <si>
    <t>266</t>
  </si>
  <si>
    <t>242C0130G0100</t>
  </si>
  <si>
    <t>BRACKET</t>
  </si>
  <si>
    <t>242C0130G01</t>
  </si>
  <si>
    <t>242A02</t>
  </si>
  <si>
    <t>L=500MM</t>
  </si>
  <si>
    <t>267</t>
  </si>
  <si>
    <t>CABLE</t>
  </si>
  <si>
    <t>3</t>
  </si>
  <si>
    <t>259A</t>
  </si>
  <si>
    <t>* CP TO DUCT HOLE (SA) : 5000(MM)
* 기계실 돌림 배관 (SF) : 2000(MM)
* HALL COM &amp; INT HARNESS용 TT 값 : 10460(MM)
* TOTAL HEIGHT (TH) : 64000(MM)
* TRAVEL HEIGHT (TR) : 57600(MM)
* OVER HEAD (OH) : 5000(MM)
* PIT (PIT) : 1400(MM)
* 비상용 엘리베이터 : YES
* HA (통신) = 3500mm로 제작
* HB (INTERLOCK) = 400mm로 제작
* T-CABLE HARNESS는 25900972G01을 따를 것
* WBSS2 승강로 취부형 제어반 적용</t>
  </si>
  <si>
    <t>FIELD HARNESS CABLE(EN81-20/50)</t>
  </si>
  <si>
    <t>15</t>
  </si>
  <si>
    <t>268</t>
  </si>
  <si>
    <t>25900888G0100</t>
  </si>
  <si>
    <t>25900888G01</t>
  </si>
  <si>
    <t>259A22</t>
  </si>
  <si>
    <t>FOR EN-20/50</t>
  </si>
  <si>
    <t>269</t>
  </si>
  <si>
    <t>25900980G0900</t>
  </si>
  <si>
    <t>CABLE ASSY</t>
  </si>
  <si>
    <t>25900980G09</t>
  </si>
  <si>
    <t>FOR PIT LAMP</t>
  </si>
  <si>
    <t>25900932G2000</t>
    <phoneticPr fontId="9" type="noConversion"/>
  </si>
  <si>
    <t>25900932G20</t>
    <phoneticPr fontId="1" type="noConversion"/>
  </si>
  <si>
    <t>259A40</t>
  </si>
  <si>
    <t>OVER 3A, 1CORE</t>
  </si>
  <si>
    <t>25900932G3000</t>
    <phoneticPr fontId="9" type="noConversion"/>
  </si>
  <si>
    <t>25900932G30</t>
  </si>
  <si>
    <t>270</t>
  </si>
  <si>
    <t>POWER CABLE</t>
  </si>
  <si>
    <t>259B01</t>
  </si>
  <si>
    <t>CP TO MOTOR - 3 CORE 48</t>
    <phoneticPr fontId="1" type="noConversion"/>
  </si>
  <si>
    <t>KIV 16.0MMSQx1C, BLACK</t>
  </si>
  <si>
    <t>750V, 70℃</t>
  </si>
  <si>
    <t>M</t>
  </si>
  <si>
    <t>271</t>
  </si>
  <si>
    <t>HX058006H05</t>
  </si>
  <si>
    <t>259B02</t>
  </si>
  <si>
    <t>CP TO MOTOR - 1 CORE 16</t>
    <phoneticPr fontId="1" type="noConversion"/>
  </si>
  <si>
    <t>KIV 16SQ(GREEN-YELLOW)</t>
  </si>
  <si>
    <t>272</t>
  </si>
  <si>
    <t>HX058017H0100</t>
  </si>
  <si>
    <t>HX058017H01</t>
  </si>
  <si>
    <t>259B04</t>
  </si>
  <si>
    <t>FOR T-CABLE BINDING</t>
  </si>
  <si>
    <t>IV 2.0SQ,BLUE</t>
  </si>
  <si>
    <t>273</t>
  </si>
  <si>
    <t>HX058010H0900</t>
    <phoneticPr fontId="1" type="noConversion"/>
  </si>
  <si>
    <t>HX058010H09</t>
  </si>
  <si>
    <t>259B09</t>
  </si>
  <si>
    <t>WAY TO PIT - 1 CORE 3</t>
  </si>
  <si>
    <t>EVV 0.75SQ x 3C</t>
  </si>
  <si>
    <t>KS IEC 60227</t>
  </si>
  <si>
    <t>274</t>
  </si>
  <si>
    <t>HX058010H1000</t>
  </si>
  <si>
    <t>HX058010H10</t>
  </si>
  <si>
    <t>259B10</t>
  </si>
  <si>
    <t>WAY TO PIT LAMP - 1 CORE 4</t>
  </si>
  <si>
    <t>EVV 0.75SQ x 5C</t>
  </si>
  <si>
    <t>KS IEC 60227(EN 50525)</t>
  </si>
  <si>
    <t>275</t>
  </si>
  <si>
    <t>HX058010H1200</t>
  </si>
  <si>
    <t>HX058010H12</t>
  </si>
  <si>
    <t>259B11</t>
  </si>
  <si>
    <t>CP TO TM BRAKE - 1 CORE 16
CP TO PIT(HIP &amp; HPI &amp; INTERLOCK) - 1 CORE 72
CP TO FLS(UPPER) - 1 CORE 12
WAY TO FLS(LOWER) - 1 CORE 4</t>
    <phoneticPr fontId="1" type="noConversion"/>
  </si>
  <si>
    <t>EVV 0.75SQ x 8C</t>
  </si>
  <si>
    <t>276</t>
  </si>
  <si>
    <t>HX058010H1500</t>
  </si>
  <si>
    <t>HX058010H15</t>
  </si>
  <si>
    <t>259B13</t>
  </si>
  <si>
    <t>CP TO PIT ASSY - 1 CORE 68</t>
  </si>
  <si>
    <t>EVV 0.75SQ x 20C</t>
  </si>
  <si>
    <t>HX058014H0200</t>
    <phoneticPr fontId="9" type="noConversion"/>
  </si>
  <si>
    <t>HX058014H02</t>
  </si>
  <si>
    <t>259B18</t>
  </si>
  <si>
    <t>CP TO HALL POWER 1 - 1 CORE 99</t>
    <phoneticPr fontId="1" type="noConversion"/>
  </si>
  <si>
    <t>EVV 1.5SQ x 4C</t>
  </si>
  <si>
    <t>277</t>
  </si>
  <si>
    <t>HX058012H0200</t>
  </si>
  <si>
    <t>HX058012H02</t>
  </si>
  <si>
    <t>259B23</t>
  </si>
  <si>
    <t>CP TO PIT -1 CORE 83</t>
  </si>
  <si>
    <t>UTP CAT5 X 4P</t>
  </si>
  <si>
    <t>278</t>
  </si>
  <si>
    <t>HX058010H1400</t>
  </si>
  <si>
    <t>HX058010H14</t>
  </si>
  <si>
    <t>259B28</t>
  </si>
  <si>
    <t>CP TO PIT ASSY(EN-20/50) -1 CORE 69</t>
  </si>
  <si>
    <t>EVV 0.75SQ x 16C</t>
  </si>
  <si>
    <t>279</t>
  </si>
  <si>
    <t>HX058009H0100</t>
  </si>
  <si>
    <t>HX058009H01</t>
  </si>
  <si>
    <t>259B60</t>
  </si>
  <si>
    <t>WAY TO HIP &amp; HPI - 15 CORE 53</t>
  </si>
  <si>
    <t>EVV 0.5SQ x 5C</t>
  </si>
  <si>
    <t>280</t>
  </si>
  <si>
    <t>HX058011H0100</t>
  </si>
  <si>
    <t>HX058011H01</t>
  </si>
  <si>
    <t>259B63</t>
  </si>
  <si>
    <t>WAY TO INTERLOCK HARNESS(FOR PIT) - 1 CORE 2
CP TO CTOL - 1 CORE 13
WAY TO INTERLOCK - 15 CORE 8</t>
    <phoneticPr fontId="1" type="noConversion"/>
  </si>
  <si>
    <t>VCTF 0.75SQ x 3C</t>
  </si>
  <si>
    <t>281</t>
  </si>
  <si>
    <t>HX00058CH09</t>
  </si>
  <si>
    <t>259C01</t>
  </si>
  <si>
    <t>CP TO OPB - 1 CORE 75</t>
  </si>
  <si>
    <t>EVVF 0.75SQ x 36C, L TYPE</t>
  </si>
  <si>
    <t>KS B 6948</t>
  </si>
  <si>
    <t>CABLE(RG59 OR UTP)</t>
  </si>
  <si>
    <t>HX058019H01</t>
  </si>
  <si>
    <t>259C02</t>
  </si>
  <si>
    <t>CCTV CABLE</t>
  </si>
  <si>
    <t>M</t>
    <phoneticPr fontId="1" type="noConversion"/>
  </si>
  <si>
    <t>추가 20231101</t>
  </si>
  <si>
    <t>HX058031H0200</t>
    <phoneticPr fontId="1" type="noConversion"/>
  </si>
  <si>
    <t>CABLE CLIP</t>
  </si>
  <si>
    <t>HX058031H02</t>
  </si>
  <si>
    <t>294A02</t>
  </si>
  <si>
    <t>CCTV CABLE CLIP</t>
  </si>
  <si>
    <t>EA</t>
    <phoneticPr fontId="1" type="noConversion"/>
  </si>
  <si>
    <t>259C0204G0300</t>
    <phoneticPr fontId="1" type="noConversion"/>
  </si>
  <si>
    <t>CABLE</t>
    <phoneticPr fontId="1" type="noConversion"/>
  </si>
  <si>
    <t>259C0204G03</t>
    <phoneticPr fontId="1" type="noConversion"/>
  </si>
  <si>
    <t>BUY</t>
    <phoneticPr fontId="1" type="noConversion"/>
  </si>
  <si>
    <t>IND TO HLT</t>
    <phoneticPr fontId="1" type="noConversion"/>
  </si>
  <si>
    <t>CAN, W/O CHIME</t>
    <phoneticPr fontId="1" type="noConversion"/>
  </si>
  <si>
    <t>283</t>
  </si>
  <si>
    <t>26000120G0200</t>
  </si>
  <si>
    <t>PIT SWITCH</t>
  </si>
  <si>
    <t>26000120G02</t>
  </si>
  <si>
    <t>260A05</t>
  </si>
  <si>
    <t>PIT SWITCH ASSY (EN 81-20/50)</t>
  </si>
  <si>
    <t>WITHOUT PRST CABLE</t>
  </si>
  <si>
    <t>284</t>
  </si>
  <si>
    <t>28610018G0100</t>
  </si>
  <si>
    <t>SWITCH BRACKET</t>
  </si>
  <si>
    <t>28610018G01</t>
  </si>
  <si>
    <t>260A06</t>
  </si>
  <si>
    <t>BRACKET FOR PREVENTING INS S/W FROM ROTATING</t>
  </si>
  <si>
    <t>FOR KS190328</t>
  </si>
  <si>
    <t>285</t>
  </si>
  <si>
    <t>26000099G0100</t>
  </si>
  <si>
    <t>EMER STOP SWITCH</t>
  </si>
  <si>
    <t>26000099G01</t>
  </si>
  <si>
    <t>260A07</t>
  </si>
  <si>
    <t>PIT E-STOP SWITCH (EN 81-20/50)</t>
  </si>
  <si>
    <t>FOR HIGH PIT</t>
  </si>
  <si>
    <t>286</t>
  </si>
  <si>
    <t>26000074G0500</t>
    <phoneticPr fontId="1" type="noConversion"/>
  </si>
  <si>
    <t>LAMP</t>
  </si>
  <si>
    <t>26000074G01</t>
  </si>
  <si>
    <t>2</t>
  </si>
  <si>
    <t>260B04</t>
  </si>
  <si>
    <t>LED TYPE, FOR EMERGENCY, CABLE 3M</t>
  </si>
  <si>
    <t>80 X 15 PCB 1EA, DC12~14V, 185mA</t>
  </si>
  <si>
    <t>287</t>
  </si>
  <si>
    <t>26000112G0100</t>
  </si>
  <si>
    <t>EMER. LAMP</t>
  </si>
  <si>
    <t>26000112G01</t>
  </si>
  <si>
    <t>LED TYPE, FOR EMERGENCY, CABLE 4M</t>
  </si>
  <si>
    <t>DC12~14V, 270mA</t>
  </si>
  <si>
    <t>288</t>
  </si>
  <si>
    <t>26000109G1000</t>
  </si>
  <si>
    <t>HOISTWAY LAMP</t>
  </si>
  <si>
    <t>26000109G10</t>
  </si>
  <si>
    <t>260C01</t>
  </si>
  <si>
    <t>15W LED</t>
  </si>
  <si>
    <t>FOR OVERHEAD</t>
  </si>
  <si>
    <t>289</t>
  </si>
  <si>
    <t>26000109G0300</t>
  </si>
  <si>
    <t>26000109G03</t>
  </si>
  <si>
    <t>260C02</t>
  </si>
  <si>
    <t>FOR CAR TOP, CABLE=4000MM</t>
  </si>
  <si>
    <t>290</t>
  </si>
  <si>
    <t>26000109G0800</t>
  </si>
  <si>
    <t>26000109G08</t>
  </si>
  <si>
    <t>260C03</t>
  </si>
  <si>
    <t>FOR PIT</t>
  </si>
  <si>
    <t>291</t>
  </si>
  <si>
    <t>26000109G0900</t>
    <phoneticPr fontId="1" type="noConversion"/>
  </si>
  <si>
    <t>26000109G09</t>
  </si>
  <si>
    <t>260C04</t>
  </si>
  <si>
    <t>FOR HOISTWAY</t>
  </si>
  <si>
    <t>292</t>
  </si>
  <si>
    <t>26000111G0100</t>
  </si>
  <si>
    <t>LAMP SWITCH</t>
  </si>
  <si>
    <t>26000111G01</t>
  </si>
  <si>
    <t>260C05</t>
  </si>
  <si>
    <t>HOISTWAY LAMP SWITCH</t>
  </si>
  <si>
    <t>313</t>
  </si>
  <si>
    <t>CAR TOP BOX ASSY</t>
  </si>
  <si>
    <t>286A</t>
  </si>
  <si>
    <t>EN81-20,DOMESTIC</t>
  </si>
  <si>
    <t>GEL,P2 DOOR, CABLE:5.6M</t>
  </si>
  <si>
    <t>26400022G0200</t>
    <phoneticPr fontId="1" type="noConversion"/>
  </si>
  <si>
    <t>LOAD CP_N ASSY</t>
    <phoneticPr fontId="1" type="noConversion"/>
  </si>
  <si>
    <t>26400022G02</t>
    <phoneticPr fontId="1" type="noConversion"/>
  </si>
  <si>
    <t>25910179G0100</t>
    <phoneticPr fontId="1" type="noConversion"/>
  </si>
  <si>
    <t>INTERLOCK CABLE</t>
    <phoneticPr fontId="1" type="noConversion"/>
  </si>
  <si>
    <t>25910180G0200</t>
    <phoneticPr fontId="1" type="noConversion"/>
  </si>
  <si>
    <t>PIT ETC SWITCH CABLE</t>
    <phoneticPr fontId="1" type="noConversion"/>
  </si>
  <si>
    <t>37</t>
  </si>
  <si>
    <t>20410214G0400</t>
  </si>
  <si>
    <t>TM E-STOP S/W OPT ASSY</t>
    <phoneticPr fontId="1" type="noConversion"/>
  </si>
  <si>
    <t>20410214G04</t>
  </si>
  <si>
    <t>204B25</t>
  </si>
  <si>
    <t>WBLX_PWM</t>
  </si>
  <si>
    <t>L=10000mm</t>
  </si>
  <si>
    <t>38</t>
  </si>
  <si>
    <t>285B0001G2400</t>
  </si>
  <si>
    <t>OVERLOAD SWITCH</t>
  </si>
  <si>
    <t>285B0001G24</t>
    <phoneticPr fontId="1" type="noConversion"/>
  </si>
  <si>
    <t>120B05</t>
  </si>
  <si>
    <t>GSP</t>
  </si>
  <si>
    <t>GSB240DK, GSB320DK</t>
  </si>
  <si>
    <t>28500012G0100</t>
    <phoneticPr fontId="1" type="noConversion"/>
  </si>
  <si>
    <t>OVERLOAD SW BRACKET</t>
    <phoneticPr fontId="1" type="noConversion"/>
  </si>
  <si>
    <t>28500012G01</t>
    <phoneticPr fontId="1" type="noConversion"/>
  </si>
  <si>
    <t>28500012G0200</t>
    <phoneticPr fontId="1" type="noConversion"/>
  </si>
  <si>
    <t>LOAD SENSOR BRACKET</t>
    <phoneticPr fontId="1" type="noConversion"/>
  </si>
  <si>
    <t>28500012G02</t>
    <phoneticPr fontId="1" type="noConversion"/>
  </si>
  <si>
    <t>25900124G0200</t>
    <phoneticPr fontId="1" type="noConversion"/>
  </si>
  <si>
    <t>CAR CABLE</t>
    <phoneticPr fontId="1" type="noConversion"/>
  </si>
  <si>
    <t>25900124G01</t>
    <phoneticPr fontId="1" type="noConversion"/>
  </si>
  <si>
    <t>26300281G2200</t>
  </si>
  <si>
    <t>HIP 원형 DOT</t>
  </si>
  <si>
    <t>26300281G22</t>
  </si>
  <si>
    <t>26310576G1100</t>
  </si>
  <si>
    <t>26310576G11</t>
  </si>
  <si>
    <t>26400111G1100</t>
  </si>
  <si>
    <t>HIP LCD</t>
  </si>
  <si>
    <t>26400111G11</t>
  </si>
  <si>
    <t>26200135G1100</t>
  </si>
  <si>
    <t>HPI 원형 DOT</t>
  </si>
  <si>
    <t>26200135G11</t>
  </si>
  <si>
    <t>26210119G1100</t>
  </si>
  <si>
    <t>26210119G11</t>
  </si>
  <si>
    <t>26400105G1200</t>
  </si>
  <si>
    <t>HPI LCD</t>
  </si>
  <si>
    <t>26400105G12</t>
  </si>
  <si>
    <t>CPI 원형 DOT</t>
  </si>
  <si>
    <t>CPI LCD</t>
  </si>
  <si>
    <t>28010878G1100</t>
  </si>
  <si>
    <t>COP 원형 DOT</t>
  </si>
  <si>
    <t>28010878G11</t>
  </si>
  <si>
    <t>26310576G1300</t>
  </si>
  <si>
    <t>26310576G13</t>
  </si>
  <si>
    <t>28010372G1100</t>
  </si>
  <si>
    <t>COP LCD</t>
  </si>
  <si>
    <t>28010372G11</t>
  </si>
  <si>
    <t>28010878G1200</t>
  </si>
  <si>
    <t>표준 COP BOARD</t>
  </si>
  <si>
    <t>28010878G12</t>
  </si>
  <si>
    <t>28100053G1100</t>
  </si>
  <si>
    <t>WCOP BOARD</t>
  </si>
  <si>
    <t>28100053G11</t>
  </si>
  <si>
    <t>29100059G0100</t>
  </si>
  <si>
    <t>CP PHONE DI-PBX EN81-A3</t>
  </si>
  <si>
    <t>29100059G01</t>
    <phoneticPr fontId="1" type="noConversion"/>
  </si>
  <si>
    <t>29100059G0300</t>
  </si>
  <si>
    <t>CP PHONE DI-PBX, PCB COATING EN81-A3</t>
  </si>
  <si>
    <t>29100059G03</t>
    <phoneticPr fontId="1" type="noConversion"/>
  </si>
  <si>
    <t>29110021G0100</t>
  </si>
  <si>
    <t>PC BOARD LP-OPB PHONE2 A'SSY 120x110x1.6</t>
  </si>
  <si>
    <t>29110021G01</t>
    <phoneticPr fontId="1" type="noConversion"/>
  </si>
  <si>
    <t>29110025G0100</t>
  </si>
  <si>
    <t>PIT PHONE BOX PIT PHONE BOX 134x259x90.1</t>
  </si>
  <si>
    <t>29110025G01</t>
    <phoneticPr fontId="1" type="noConversion"/>
  </si>
  <si>
    <t>29110017G4100</t>
    <phoneticPr fontId="1" type="noConversion"/>
  </si>
  <si>
    <t>HYBRID-PBX4 DI-PBX, WIRELESS 4CH</t>
    <phoneticPr fontId="1" type="noConversion"/>
  </si>
  <si>
    <t>29110017G41</t>
    <phoneticPr fontId="1" type="noConversion"/>
  </si>
  <si>
    <t>23000049G0100</t>
  </si>
  <si>
    <t>JOB SITE TOOL WBSS1(FLEXIBLE) FOR HOIST</t>
  </si>
  <si>
    <t>23000049G01</t>
    <phoneticPr fontId="1" type="noConversion"/>
  </si>
  <si>
    <t>23000049G1700</t>
    <phoneticPr fontId="1" type="noConversion"/>
  </si>
  <si>
    <t>FLEXIBLE TUBE GW 36 LENGTH = 7 MR</t>
  </si>
  <si>
    <t>23000049G17</t>
    <phoneticPr fontId="1" type="noConversion"/>
  </si>
  <si>
    <t>13110148G0100</t>
    <phoneticPr fontId="1" type="noConversion"/>
  </si>
  <si>
    <t>DOOR MOTOR M1,HIDC-INT4I 0.4kW,FRANGE TY</t>
    <phoneticPr fontId="1" type="noConversion"/>
  </si>
  <si>
    <t>13110152G0400</t>
    <phoneticPr fontId="1" type="noConversion"/>
  </si>
  <si>
    <t>ENCODER METRONIX,AUTONICS,KWANGWOO 2500</t>
    <phoneticPr fontId="1" type="noConversion"/>
  </si>
  <si>
    <t>26300170G1100</t>
    <phoneticPr fontId="1" type="noConversion"/>
  </si>
  <si>
    <t>HALL CPU ASSY</t>
    <phoneticPr fontId="1" type="noConversion"/>
  </si>
  <si>
    <t>영진 에스코드등 기능</t>
    <phoneticPr fontId="1" type="noConversion"/>
  </si>
  <si>
    <t>259C0151G0100</t>
    <phoneticPr fontId="1" type="noConversion"/>
  </si>
  <si>
    <t>CABLE,HALL LANTERN ASSY</t>
    <phoneticPr fontId="1" type="noConversion"/>
  </si>
  <si>
    <t>HX058014H0200</t>
    <phoneticPr fontId="1" type="noConversion"/>
  </si>
  <si>
    <t>CABLE EVV 1.5SQ X 4C KS IEC 60227</t>
    <phoneticPr fontId="1" type="noConversion"/>
  </si>
  <si>
    <t>259D0394G0100</t>
    <phoneticPr fontId="1" type="noConversion"/>
  </si>
  <si>
    <t>CABLE FOR ESCORT LIGHT</t>
    <phoneticPr fontId="1" type="noConversion"/>
  </si>
  <si>
    <t>28600127G0100</t>
    <phoneticPr fontId="1" type="noConversion"/>
  </si>
  <si>
    <t>영진 범죄예방 옵션</t>
    <phoneticPr fontId="1" type="noConversion"/>
  </si>
  <si>
    <t>20411307G0100</t>
    <phoneticPr fontId="1" type="noConversion"/>
  </si>
  <si>
    <t>영진 안전탑승기능</t>
    <phoneticPr fontId="1" type="noConversion"/>
  </si>
  <si>
    <t>WBLX</t>
    <phoneticPr fontId="1" type="noConversion"/>
  </si>
  <si>
    <t>수배관련 203339L01현장 참고하여 작성</t>
    <phoneticPr fontId="1" type="noConversion"/>
  </si>
  <si>
    <t>BOM등록일</t>
  </si>
  <si>
    <t>BOM수정일</t>
  </si>
  <si>
    <t>HHT-WB100N-SE ASSY</t>
    <phoneticPr fontId="1" type="noConversion"/>
  </si>
  <si>
    <t>전류</t>
    <phoneticPr fontId="1" type="noConversion"/>
  </si>
  <si>
    <t>20401397G3000</t>
    <phoneticPr fontId="9" type="noConversion"/>
  </si>
  <si>
    <t>20401397G30</t>
    <phoneticPr fontId="9" type="noConversion"/>
  </si>
  <si>
    <t>ELD RST SENSING BOARD</t>
    <phoneticPr fontId="1" type="noConversion"/>
  </si>
  <si>
    <t>* KS 케이블 적용</t>
  </si>
  <si>
    <t>13K RAIL, 105M/MIN</t>
  </si>
  <si>
    <t>24200129G0200</t>
    <phoneticPr fontId="1" type="noConversion"/>
  </si>
  <si>
    <t>40</t>
  </si>
  <si>
    <t>* CP TO DUCT HOLE (SA) : 5250(MM)
* HALL COM &amp; INT HARNESS용 TT 값 : 9850
* TOTAL HEIGHT (TH) : 38150(MM)
* TRAVEL HEIGHT (TR) : 31150(MM)
* OVER HEAD (OH) : 5200(MM)
* PIT (PIT) : 1800(MM)
* 비상용 엘리베이터 : NO
* HA (통신) = 3500mm로 제작
* HB (INTERLOCK) = 200mm로 제작
* T-CABLE HARNESS는 25900972G01을 따를 것</t>
  </si>
  <si>
    <t>FIELD HARNESS CABLE (EN81-20/50)</t>
  </si>
  <si>
    <t>11</t>
  </si>
  <si>
    <t>41</t>
  </si>
  <si>
    <t>43</t>
  </si>
  <si>
    <t>POWER TO CP - 3 CORE 27
CP TO MOTOR - 3 CORE 27</t>
  </si>
  <si>
    <t>44</t>
  </si>
  <si>
    <t>POWER TO CP - 1 CORE 9
CP TO MOTOR - 1 CORE 9</t>
  </si>
  <si>
    <t>45</t>
  </si>
  <si>
    <t>HX058004H0100</t>
  </si>
  <si>
    <t>LIGHTING CABLE</t>
  </si>
  <si>
    <t>HX058004H01</t>
  </si>
  <si>
    <t>259B03</t>
  </si>
  <si>
    <t>POWER TO CP - 2 CORE 20</t>
  </si>
  <si>
    <t>KIV 2.5MMSQx1C, BLACK</t>
  </si>
  <si>
    <t>46</t>
  </si>
  <si>
    <t>47</t>
  </si>
  <si>
    <t>HX058010H0900</t>
  </si>
  <si>
    <t>WAY TO PIT - 1 CORE 3
CP TO MOTOR THERMAL SW - 1 CORE 8</t>
  </si>
  <si>
    <t>48</t>
  </si>
  <si>
    <t>49</t>
  </si>
  <si>
    <t>259B11</t>
    <phoneticPr fontId="1" type="noConversion"/>
  </si>
  <si>
    <t>CP TO TM BRAKE - 1 CORE 8
CP TO PIT(HIP &amp; HPI &amp; INTERLOCK) - 1 CORE 45
CP TO FLS(UPPER) - 1 CORE 14
WAY TO FLS(LOWER) - 1 CORE 4</t>
  </si>
  <si>
    <t>50</t>
  </si>
  <si>
    <t>CP TO PIT ASSY - 1 CORE 48</t>
  </si>
  <si>
    <t>51</t>
  </si>
  <si>
    <t>HX058012H0100</t>
  </si>
  <si>
    <t>HX058012H01</t>
  </si>
  <si>
    <t>259B22</t>
  </si>
  <si>
    <t>CP TO PIT -1 CORE 54</t>
  </si>
  <si>
    <t>UTP CAT5 X 2P</t>
  </si>
  <si>
    <t>52</t>
  </si>
  <si>
    <t>CP TO PIT ASSY(EN-20/50) -1 CORE 48</t>
  </si>
  <si>
    <t>53</t>
  </si>
  <si>
    <t>WAY TO HIP &amp; HPI - 11 CORE 39</t>
  </si>
  <si>
    <t>54</t>
  </si>
  <si>
    <t>CP TO GOV. SW - 1 CORE 8
WAY TO INTERLOCK HARNESS(FOR PIT) - 1 CORE 2
WAY TO INTERLOCK - 11 CORE 4
CP TO TM SW - 1 CORE 8</t>
  </si>
  <si>
    <t>55</t>
  </si>
  <si>
    <t>CP TO OPB - 1 CORE 52</t>
  </si>
  <si>
    <t>CABLE(RG59 OR UTP)</t>
    <phoneticPr fontId="1" type="noConversion"/>
  </si>
  <si>
    <t>CAR TO PIT (CCTV) - 1 CORE 43</t>
  </si>
  <si>
    <t>57</t>
  </si>
  <si>
    <t>58</t>
  </si>
  <si>
    <t>28610018G0100</t>
    <phoneticPr fontId="1" type="noConversion"/>
  </si>
  <si>
    <t>59</t>
  </si>
  <si>
    <t>60</t>
  </si>
  <si>
    <t>61</t>
  </si>
  <si>
    <t>62</t>
  </si>
  <si>
    <t>63</t>
  </si>
  <si>
    <t>64</t>
  </si>
  <si>
    <t>26000109G0900</t>
  </si>
  <si>
    <t>65</t>
  </si>
  <si>
    <t>EN81-20,DOMESTIC</t>
    <phoneticPr fontId="1" type="noConversion"/>
  </si>
  <si>
    <t>20410214G0400</t>
    <phoneticPr fontId="1" type="noConversion"/>
  </si>
  <si>
    <t>TM E-STOP S/W OPT ASSY</t>
  </si>
  <si>
    <t>L=10000mm</t>
    <phoneticPr fontId="1" type="noConversion"/>
  </si>
  <si>
    <t>285B0001G24</t>
  </si>
  <si>
    <t xml:space="preserve">PC BOARD LP-OPB PHONE2 A'SSY </t>
    <phoneticPr fontId="1" type="noConversion"/>
  </si>
  <si>
    <t xml:space="preserve">PIT PHONE BOX PIT PHONE BOX </t>
    <phoneticPr fontId="1" type="noConversion"/>
  </si>
  <si>
    <t>23000030G0100</t>
  </si>
  <si>
    <t>JOB SITE TOOL WBST, WBLX(FLEXIBLE) FOR H</t>
  </si>
  <si>
    <t>23000030G01</t>
    <phoneticPr fontId="1" type="noConversion"/>
  </si>
  <si>
    <t>23000030G0500</t>
  </si>
  <si>
    <t>JOB SITE TOOL WBST, WBLX(FLEXIBLE) FOR M</t>
  </si>
  <si>
    <t>23000030G05</t>
    <phoneticPr fontId="1" type="noConversion"/>
  </si>
  <si>
    <t>23000052G0100</t>
  </si>
  <si>
    <t>COVER PLATE GI/EGI t0.8X300X400</t>
  </si>
  <si>
    <t>23000052G01</t>
    <phoneticPr fontId="1" type="noConversion"/>
  </si>
  <si>
    <t>23000091G0200</t>
  </si>
  <si>
    <t>DUCT EGI/GI PLANE, 0.8T, W/O DUCT HOLE W</t>
  </si>
  <si>
    <t>23000091G02</t>
    <phoneticPr fontId="1" type="noConversion"/>
  </si>
  <si>
    <t>23000100G0100</t>
  </si>
  <si>
    <t>ELBOW EGI/GI PLANE, 1.6T W=100</t>
  </si>
  <si>
    <t>23000100G01</t>
    <phoneticPr fontId="1" type="noConversion"/>
  </si>
  <si>
    <t>23000102G0500</t>
  </si>
  <si>
    <t>FLEXIBLE TUBE GW 16 LENGTH = 5 MR</t>
  </si>
  <si>
    <t>23000102G05</t>
    <phoneticPr fontId="1" type="noConversion"/>
  </si>
  <si>
    <t>23000104G0500</t>
  </si>
  <si>
    <t>FLEXIBLE TUBE GW 28 LENGTH = 5 MR</t>
  </si>
  <si>
    <t>23000104G05</t>
    <phoneticPr fontId="1" type="noConversion"/>
  </si>
  <si>
    <t>WBST</t>
    <phoneticPr fontId="1" type="noConversion"/>
  </si>
  <si>
    <t>단가</t>
    <phoneticPr fontId="87" type="noConversion"/>
  </si>
  <si>
    <t>금액</t>
    <phoneticPr fontId="87" type="noConversion"/>
  </si>
  <si>
    <t>합계</t>
    <phoneticPr fontId="87" type="noConversion"/>
  </si>
  <si>
    <t>CP ASSY (내작)</t>
    <phoneticPr fontId="87" type="noConversion"/>
  </si>
  <si>
    <t>조명석</t>
    <phoneticPr fontId="87" type="noConversion"/>
  </si>
  <si>
    <t>CP ASSY (외주)</t>
    <phoneticPr fontId="87" type="noConversion"/>
  </si>
  <si>
    <t>20400474G0400</t>
    <phoneticPr fontId="87" type="noConversion"/>
  </si>
  <si>
    <t xml:space="preserve">UCMP BOARD ASSY	</t>
    <phoneticPr fontId="87" type="noConversion"/>
  </si>
  <si>
    <t>20400474G04</t>
    <phoneticPr fontId="87" type="noConversion"/>
  </si>
  <si>
    <t>추가 20240125</t>
    <phoneticPr fontId="87" type="noConversion"/>
  </si>
  <si>
    <t>ROPE BRAKE OPT ASSY</t>
    <phoneticPr fontId="87" type="noConversion"/>
  </si>
  <si>
    <t>추가 20240227</t>
    <phoneticPr fontId="87" type="noConversion"/>
  </si>
  <si>
    <t>20411025G0100</t>
    <phoneticPr fontId="87" type="noConversion"/>
  </si>
  <si>
    <t>HHT-WB100N-SE ASSY</t>
    <phoneticPr fontId="87" type="noConversion"/>
  </si>
  <si>
    <t>259D0202G0500</t>
    <phoneticPr fontId="87" type="noConversion"/>
  </si>
  <si>
    <t>GROUP CABLE</t>
    <phoneticPr fontId="87" type="noConversion"/>
  </si>
  <si>
    <t>15 MR</t>
    <phoneticPr fontId="87" type="noConversion"/>
  </si>
  <si>
    <t>MCCB</t>
    <phoneticPr fontId="87" type="noConversion"/>
  </si>
  <si>
    <t>전류</t>
    <phoneticPr fontId="87" type="noConversion"/>
  </si>
  <si>
    <t>TERMINAL LUG</t>
    <phoneticPr fontId="87" type="noConversion"/>
  </si>
  <si>
    <t>TRANSFORMER</t>
    <phoneticPr fontId="87" type="noConversion"/>
  </si>
  <si>
    <t>HX001064H0400</t>
    <phoneticPr fontId="87" type="noConversion"/>
  </si>
  <si>
    <t>CP NAME PLATE</t>
    <phoneticPr fontId="87" type="noConversion"/>
  </si>
  <si>
    <t>HX001064H04</t>
    <phoneticPr fontId="87" type="noConversion"/>
  </si>
  <si>
    <t>28500005G0100</t>
    <phoneticPr fontId="87" type="noConversion"/>
  </si>
  <si>
    <t>LOAD SENSOR</t>
    <phoneticPr fontId="87" type="noConversion"/>
  </si>
  <si>
    <t>28500005G01</t>
    <phoneticPr fontId="87" type="noConversion"/>
  </si>
  <si>
    <t>20410326G0200</t>
    <phoneticPr fontId="87" type="noConversion"/>
  </si>
  <si>
    <t>ELD RST SENSING BOARD</t>
    <phoneticPr fontId="87" type="noConversion"/>
  </si>
  <si>
    <t>20411328G0100</t>
    <phoneticPr fontId="87" type="noConversion"/>
  </si>
  <si>
    <t>CP MANUAL</t>
    <phoneticPr fontId="87" type="noConversion"/>
  </si>
  <si>
    <t>추가 20231101</t>
    <phoneticPr fontId="87" type="noConversion"/>
  </si>
  <si>
    <t>INVERTER (내작)</t>
    <phoneticPr fontId="87" type="noConversion"/>
  </si>
  <si>
    <t>INVERTER (외주)</t>
    <phoneticPr fontId="87" type="noConversion"/>
  </si>
  <si>
    <t>PIM/IPM</t>
    <phoneticPr fontId="87" type="noConversion"/>
  </si>
  <si>
    <t>101C0537G0100</t>
  </si>
  <si>
    <t>ENCODER</t>
  </si>
  <si>
    <t>101C0537G01</t>
  </si>
  <si>
    <t>20000126G0100</t>
  </si>
  <si>
    <t>ENCODER COVER</t>
  </si>
  <si>
    <t>20000126G01</t>
  </si>
  <si>
    <t>24200129G0200</t>
    <phoneticPr fontId="87" type="noConversion"/>
  </si>
  <si>
    <t>8~18K RAIL</t>
    <phoneticPr fontId="87" type="noConversion"/>
  </si>
  <si>
    <t>ROPE BRAKE CABLE HARNESS</t>
    <phoneticPr fontId="87" type="noConversion"/>
  </si>
  <si>
    <t>25900932G20</t>
    <phoneticPr fontId="87" type="noConversion"/>
  </si>
  <si>
    <t>259B11</t>
    <phoneticPr fontId="87" type="noConversion"/>
  </si>
  <si>
    <r>
      <t xml:space="preserve">CP TO TM BRAKE - 1 CORE 8
</t>
    </r>
    <r>
      <rPr>
        <sz val="11"/>
        <color rgb="FFFF0000"/>
        <rFont val="맑은 고딕"/>
        <family val="3"/>
        <charset val="129"/>
      </rPr>
      <t>CP TO ROPE BRAKE - 1 CORE 8</t>
    </r>
    <r>
      <rPr>
        <sz val="11"/>
        <color theme="1"/>
        <rFont val="맑은 고딕"/>
        <family val="2"/>
        <charset val="129"/>
        <scheme val="minor"/>
      </rPr>
      <t xml:space="preserve">
CP TO PIT(HIP &amp; HPI &amp; INTERLOCK) - 1 CORE 45
CP TO FLS(UPPER) - 1 CORE 14
WAY TO FLS(LOWER) - 1 CORE 4</t>
    </r>
    <phoneticPr fontId="87" type="noConversion"/>
  </si>
  <si>
    <t>변경 20240227</t>
    <phoneticPr fontId="87" type="noConversion"/>
  </si>
  <si>
    <t>CP TO HALL POWER 1 - 1 CORE 99</t>
    <phoneticPr fontId="87" type="noConversion"/>
  </si>
  <si>
    <t>HX058019H0100</t>
  </si>
  <si>
    <t>HX058031H0200</t>
  </si>
  <si>
    <t>259C0204G0300</t>
    <phoneticPr fontId="87" type="noConversion"/>
  </si>
  <si>
    <t>CABLE</t>
    <phoneticPr fontId="87" type="noConversion"/>
  </si>
  <si>
    <t>259C0204G03</t>
    <phoneticPr fontId="87" type="noConversion"/>
  </si>
  <si>
    <t>BUY</t>
    <phoneticPr fontId="87" type="noConversion"/>
  </si>
  <si>
    <t>IND TO HLT</t>
    <phoneticPr fontId="87" type="noConversion"/>
  </si>
  <si>
    <t>CAN, W/O CHIME</t>
    <phoneticPr fontId="87" type="noConversion"/>
  </si>
  <si>
    <t>EA</t>
    <phoneticPr fontId="87" type="noConversion"/>
  </si>
  <si>
    <t>28610018G0100</t>
    <phoneticPr fontId="87" type="noConversion"/>
  </si>
  <si>
    <t>26000074G0500</t>
    <phoneticPr fontId="87" type="noConversion"/>
  </si>
  <si>
    <t>EN81-20,DOMESTIC</t>
    <phoneticPr fontId="87" type="noConversion"/>
  </si>
  <si>
    <t>LOAD CP_N ASSY</t>
    <phoneticPr fontId="87" type="noConversion"/>
  </si>
  <si>
    <t>26400022G02</t>
    <phoneticPr fontId="87" type="noConversion"/>
  </si>
  <si>
    <t>25910179G0100</t>
    <phoneticPr fontId="87" type="noConversion"/>
  </si>
  <si>
    <t>INTERLOCK CABLE</t>
    <phoneticPr fontId="87" type="noConversion"/>
  </si>
  <si>
    <t>25910180G0200</t>
    <phoneticPr fontId="87" type="noConversion"/>
  </si>
  <si>
    <t>PIT ETC SWITCH CABLE</t>
    <phoneticPr fontId="87" type="noConversion"/>
  </si>
  <si>
    <t>20410214G0400</t>
    <phoneticPr fontId="87" type="noConversion"/>
  </si>
  <si>
    <t>L=10000mm</t>
    <phoneticPr fontId="87" type="noConversion"/>
  </si>
  <si>
    <t>285B0001G0500</t>
    <phoneticPr fontId="87" type="noConversion"/>
  </si>
  <si>
    <t>285B0001G18</t>
    <phoneticPr fontId="87" type="noConversion"/>
  </si>
  <si>
    <t>변경 20240125</t>
    <phoneticPr fontId="87" type="noConversion"/>
  </si>
  <si>
    <t>28500012G0100</t>
    <phoneticPr fontId="87" type="noConversion"/>
  </si>
  <si>
    <t>OVERLOAD SW BRACKET</t>
    <phoneticPr fontId="87" type="noConversion"/>
  </si>
  <si>
    <t>28500012G0200</t>
    <phoneticPr fontId="87" type="noConversion"/>
  </si>
  <si>
    <t>LOAD SENSOR BRACKET</t>
    <phoneticPr fontId="87" type="noConversion"/>
  </si>
  <si>
    <t>삭제 20240125</t>
    <phoneticPr fontId="87" type="noConversion"/>
  </si>
  <si>
    <t>25900124G0200</t>
    <phoneticPr fontId="87" type="noConversion"/>
  </si>
  <si>
    <t>CAR CABLE</t>
    <phoneticPr fontId="87" type="noConversion"/>
  </si>
  <si>
    <t>25900124G02</t>
    <phoneticPr fontId="87" type="noConversion"/>
  </si>
  <si>
    <t>25900124G0100</t>
    <phoneticPr fontId="1" type="noConversion"/>
  </si>
  <si>
    <t>29100059G01</t>
    <phoneticPr fontId="87" type="noConversion"/>
  </si>
  <si>
    <t>29100059G03</t>
    <phoneticPr fontId="87" type="noConversion"/>
  </si>
  <si>
    <t xml:space="preserve">PC BOARD LP-OPB PHONE2 A'SSY </t>
    <phoneticPr fontId="87" type="noConversion"/>
  </si>
  <si>
    <t>29110021G01</t>
    <phoneticPr fontId="87" type="noConversion"/>
  </si>
  <si>
    <t xml:space="preserve">PIT PHONE BOX PIT PHONE BOX </t>
    <phoneticPr fontId="87" type="noConversion"/>
  </si>
  <si>
    <t>29110025G01</t>
    <phoneticPr fontId="87" type="noConversion"/>
  </si>
  <si>
    <t>29110017G4100</t>
    <phoneticPr fontId="87" type="noConversion"/>
  </si>
  <si>
    <t>HYBRID-PBX4 DI-PBX, WIRELESS 4CH</t>
    <phoneticPr fontId="87" type="noConversion"/>
  </si>
  <si>
    <t>29110017G41</t>
    <phoneticPr fontId="87" type="noConversion"/>
  </si>
  <si>
    <t>23000030G01</t>
    <phoneticPr fontId="87" type="noConversion"/>
  </si>
  <si>
    <t>23000030G05</t>
    <phoneticPr fontId="87" type="noConversion"/>
  </si>
  <si>
    <t>23000052G01</t>
    <phoneticPr fontId="87" type="noConversion"/>
  </si>
  <si>
    <t>23000091G02</t>
    <phoneticPr fontId="87" type="noConversion"/>
  </si>
  <si>
    <t>23000100G01</t>
    <phoneticPr fontId="87" type="noConversion"/>
  </si>
  <si>
    <t>23000102G05</t>
    <phoneticPr fontId="87" type="noConversion"/>
  </si>
  <si>
    <t>23000104G05</t>
    <phoneticPr fontId="87" type="noConversion"/>
  </si>
  <si>
    <t>□ 원가정보</t>
  </si>
  <si>
    <t>기타</t>
    <phoneticPr fontId="1" type="noConversion"/>
  </si>
  <si>
    <t>추가적용율</t>
    <phoneticPr fontId="1" type="noConversion"/>
  </si>
  <si>
    <t>옵션 BD</t>
  </si>
  <si>
    <t>구분2</t>
    <phoneticPr fontId="1" type="noConversion"/>
  </si>
  <si>
    <t>자재번호</t>
    <phoneticPr fontId="1" type="noConversion"/>
  </si>
  <si>
    <t>자재명</t>
    <phoneticPr fontId="1" type="noConversion"/>
  </si>
  <si>
    <t>원가</t>
    <phoneticPr fontId="1" type="noConversion"/>
  </si>
  <si>
    <t>적용원가</t>
  </si>
  <si>
    <t>비고</t>
  </si>
  <si>
    <t>CP</t>
    <phoneticPr fontId="1" type="noConversion"/>
  </si>
  <si>
    <t>CP ASSY</t>
    <phoneticPr fontId="1" type="noConversion"/>
  </si>
  <si>
    <t>Y</t>
    <phoneticPr fontId="1" type="noConversion"/>
  </si>
  <si>
    <t>20410986G0100</t>
    <phoneticPr fontId="1" type="noConversion"/>
  </si>
  <si>
    <t>WBLX-SE_ELD,STD INV,GI+PAINT</t>
  </si>
  <si>
    <t>CP WBLX-SE_ELD,STD INV,GI+PAINT 7.5kW</t>
  </si>
  <si>
    <t>20410986G0200</t>
  </si>
  <si>
    <t>CP WBLX-SE_ELD,STD INV,GI+PAINT 11kW</t>
  </si>
  <si>
    <t>20410986G0300</t>
  </si>
  <si>
    <t>CP WBLX-SE_ELD,STD INV,GI+PAINT 15kW</t>
  </si>
  <si>
    <t>20410986G0400</t>
  </si>
  <si>
    <t>CP WBLX-SE_ELD,STD INV,GI+PAINT 22kW</t>
  </si>
  <si>
    <t>20410988G0100</t>
  </si>
  <si>
    <t>WBSS-SE,STD INV,SUS,LH</t>
  </si>
  <si>
    <t>CP WBSS-SE,STD INV,SUS,LH 7.5kW,HH=2100</t>
  </si>
  <si>
    <t>20410988G0200</t>
  </si>
  <si>
    <t>CP WBSS-SE,STD INV,SUS,LH 11kW,HH=2100</t>
  </si>
  <si>
    <t>20410988G0300</t>
  </si>
  <si>
    <t>CP WBSS-SE,STD INV,SUS,LH 15kW,HH=2100</t>
  </si>
  <si>
    <t>20410988G0400</t>
  </si>
  <si>
    <t>CP WBSS-SE,STD INV,SUS,LH 22kW,HH=2100</t>
  </si>
  <si>
    <t>20410988G0600</t>
  </si>
  <si>
    <t>CP WBSS-SE,STD INV,SUS,LH 7.5kW,HH=2200</t>
  </si>
  <si>
    <t>20410988G0700</t>
  </si>
  <si>
    <t>CP WBSS-SE,STD INV,SUS,LH 11kW,HH=2200</t>
  </si>
  <si>
    <t>20410988G0800</t>
  </si>
  <si>
    <t>CP WBSS-SE,STD INV,SUS,LH 15kW,HH=2200</t>
  </si>
  <si>
    <t>20410988G0900</t>
  </si>
  <si>
    <t>CP WBSS-SE,STD INV,SUS,LH 22kW,HH=2200</t>
  </si>
  <si>
    <t>20410988G1100</t>
  </si>
  <si>
    <t>CP WBSS-SE,STD INV,SUS,LH 7.5kW,HH=2400</t>
  </si>
  <si>
    <t>20410988G1200</t>
  </si>
  <si>
    <t>CP WBSS-SE,STD INV,SUS,LH 11kW,HH=2400</t>
  </si>
  <si>
    <t>20410988G1300</t>
  </si>
  <si>
    <t>CP WBSS-SE,STD INV,SUS,LH 15kW,HH=2400</t>
  </si>
  <si>
    <t>20410988G1400</t>
  </si>
  <si>
    <t>CP WBSS-SE,STD INV,SUS,LH 22kW,HH=2400</t>
  </si>
  <si>
    <t>20410988G1600</t>
  </si>
  <si>
    <t>WBSS-SE,STD INV,SUS,RH</t>
  </si>
  <si>
    <t>CP WBSS-SE,STD INV,SUS,RH 7.5kW,HH=2100</t>
  </si>
  <si>
    <t>20410988G1700</t>
  </si>
  <si>
    <t>CP WBSS-SE,STD INV,SUS,RH 11kW,HH=2100</t>
  </si>
  <si>
    <t>20410988G1800</t>
  </si>
  <si>
    <t>CP WBSS-SE,STD INV,SUS,RH 15kW,HH=2100</t>
  </si>
  <si>
    <t>20410988G1900</t>
  </si>
  <si>
    <t>CP WBSS-SE,STD INV,SUS,RH 22kW,HH=2100</t>
  </si>
  <si>
    <t>20410988G2100</t>
  </si>
  <si>
    <t>CP WBSS-SE,STD INV,SUS,RH 7.5kW,HH=2200</t>
  </si>
  <si>
    <t>20410988G2200</t>
  </si>
  <si>
    <t>CP WBSS-SE,STD INV,SUS,RH 11kW,HH=2200</t>
  </si>
  <si>
    <t>20410988G2300</t>
  </si>
  <si>
    <t>CP WBSS-SE,STD INV,SUS,RH 15kW,HH=2200</t>
  </si>
  <si>
    <t>20410988G2400</t>
  </si>
  <si>
    <t>CP WBSS-SE,STD INV,SUS,RH 22kW,HH=2200</t>
  </si>
  <si>
    <t>20410988G2600</t>
  </si>
  <si>
    <t>CP WBSS-SE,STD INV,SUS,RH 7.5kW,HH=2400</t>
  </si>
  <si>
    <t>20410988G2700</t>
  </si>
  <si>
    <t>CP WBSS-SE,STD INV,SUS,RH 11kW,HH=2400</t>
  </si>
  <si>
    <t>20410988G2800</t>
  </si>
  <si>
    <t>CP WBSS-SE,STD INV,SUS,RH 15kW,HH=2400</t>
  </si>
  <si>
    <t>20410988G2900</t>
  </si>
  <si>
    <t>CP WBSS-SE,STD INV,SUS,RH 22kW,HH=2400</t>
  </si>
  <si>
    <t>20410988G3100</t>
  </si>
  <si>
    <t>WBSS-SE,STD INV,HOISTWAY</t>
  </si>
  <si>
    <t>CP WBSS-SE,STD INV,HOISTWAY 7.5kW</t>
  </si>
  <si>
    <t>20410988G3200</t>
  </si>
  <si>
    <t>CP WBSS-SE,STD INV,HOISTWAY 11kW</t>
  </si>
  <si>
    <t>20410988G3300</t>
  </si>
  <si>
    <t>CP WBSS-SE,STD INV,HOISTWAY 15kW</t>
  </si>
  <si>
    <t>20410988G3400</t>
  </si>
  <si>
    <t>CP WBSS-SE,STD INV,HOISTWAY 22kW</t>
  </si>
  <si>
    <t>20410990G0100</t>
    <phoneticPr fontId="1" type="noConversion"/>
  </si>
  <si>
    <t>WBLX-SE_ELD,PWM INV,GI+PAINT</t>
  </si>
  <si>
    <t>CP WBLX-SE_ELD,PWM INV,GI+PAINT 7.5kW</t>
  </si>
  <si>
    <t>20410990G0200</t>
  </si>
  <si>
    <t>CP WBLX-SE_ELD,PWM INV,GI+PAINT 11kW</t>
  </si>
  <si>
    <t>20410990G0300</t>
  </si>
  <si>
    <t>CP WBLX-SE_ELD,PWM INV,GI+PAINT 15kW</t>
  </si>
  <si>
    <t>20410990G0400</t>
  </si>
  <si>
    <t>CP WBLX-SE_ELD,PWM INV,GI+PAINT 22kW</t>
  </si>
  <si>
    <t>20410992G0100</t>
  </si>
  <si>
    <t>WBSS-SE,PWM INV,SUS,LH</t>
  </si>
  <si>
    <t>CP WBSS-SE,PWM INV,SUS,LH 7.5kW,HH=2100</t>
  </si>
  <si>
    <t>20410992G0200</t>
  </si>
  <si>
    <t>CP WBSS-SE,PWM INV,SUS,LH 11kW,HH=2100</t>
  </si>
  <si>
    <t>20410992G0300</t>
  </si>
  <si>
    <t>CP WBSS-SE,PWM INV,SUS,LH 15kW,HH=2100</t>
  </si>
  <si>
    <t>20410992G0400</t>
  </si>
  <si>
    <t>CP WBSS-SE,PWM INV,SUS,LH 22kW,HH=2100</t>
  </si>
  <si>
    <t>20410992G0500</t>
  </si>
  <si>
    <t>CP WBSS-SE,PWM INV,SUS,LH 7.5kW,HH=2200</t>
  </si>
  <si>
    <t>20410992G0600</t>
  </si>
  <si>
    <t>CP WBSS-SE,PWM INV,SUS,LH 11kW,HH=2200</t>
  </si>
  <si>
    <t>20410992G0700</t>
  </si>
  <si>
    <t>CP WBSS-SE,PWM INV,SUS,LH 15kW,HH=2200</t>
  </si>
  <si>
    <t>20410992G0800</t>
  </si>
  <si>
    <t>CP WBSS-SE,PWM INV,SUS,LH 22kW,HH=2200</t>
  </si>
  <si>
    <t>20410992G0900</t>
  </si>
  <si>
    <t>CP WBSS-SE,PWM INV,SUS,LH 7.5kW,HH=2400</t>
  </si>
  <si>
    <t>20410992G1000</t>
  </si>
  <si>
    <t>CP WBSS-SE,PWM INV,SUS,LH 11kW,HH=2400</t>
  </si>
  <si>
    <t>20410992G1100</t>
  </si>
  <si>
    <t>CP WBSS-SE,PWM INV,SUS,LH 15kW,HH=2400</t>
  </si>
  <si>
    <t>20410992G1200</t>
  </si>
  <si>
    <t>CP WBSS-SE,PWM INV,SUS,LH 22kW,HH=2400</t>
  </si>
  <si>
    <t>20410992G1300</t>
  </si>
  <si>
    <t>WBSS-SE,PWM INV,SUS,RH</t>
  </si>
  <si>
    <t>CP WBSS-SE,PWM INV,SUS,RH 7.5kW,HH=2100</t>
  </si>
  <si>
    <t>20410992G1400</t>
  </si>
  <si>
    <t>CP WBSS-SE,PWM INV,SUS,RH 11kW,HH=2100</t>
  </si>
  <si>
    <t>20410992G1500</t>
  </si>
  <si>
    <t>CP WBSS-SE,PWM INV,SUS,RH 15kW,HH=2100</t>
  </si>
  <si>
    <t>20410992G1600</t>
  </si>
  <si>
    <t>CP WBSS-SE,PWM INV,SUS,RH 22kW,HH=2100</t>
  </si>
  <si>
    <t>20410992G1700</t>
  </si>
  <si>
    <t>CP WBSS-SE,PWM INV,SUS,RH 7.5kW,HH=2200</t>
  </si>
  <si>
    <t>20410992G1800</t>
  </si>
  <si>
    <t>CP WBSS-SE,PWM INV,SUS,RH 11kW,HH=2200</t>
  </si>
  <si>
    <t>20410992G1900</t>
  </si>
  <si>
    <t>CP WBSS-SE,PWM INV,SUS,RH 15kW,HH=2200</t>
  </si>
  <si>
    <t>20410992G2000</t>
  </si>
  <si>
    <t>CP WBSS-SE,PWM INV,SUS,RH 22kW,HH=2200</t>
  </si>
  <si>
    <t>20410992G2100</t>
  </si>
  <si>
    <t>CP WBSS-SE,PWM INV,SUS,RH 7.5kW,HH=2400</t>
  </si>
  <si>
    <t>20410992G2200</t>
  </si>
  <si>
    <t>CP WBSS-SE,PWM INV,SUS,RH 11kW,HH=2400</t>
  </si>
  <si>
    <t>20410992G2300</t>
  </si>
  <si>
    <t>CP WBSS-SE,PWM INV,SUS,RH 15kW,HH=2400</t>
  </si>
  <si>
    <t>20410992G2400</t>
  </si>
  <si>
    <t>CP WBSS-SE,PWM INV,SUS,RH 22kW,HH=2400</t>
  </si>
  <si>
    <t>20410992G2500</t>
  </si>
  <si>
    <t>WBSS-SE,PWM INV,HOISTWAY</t>
  </si>
  <si>
    <t>CP WBSS-SE,PWM INV,HOISTWAY 7.5kW</t>
  </si>
  <si>
    <t>20410992G2600</t>
  </si>
  <si>
    <t>CP WBSS-SE,PWM INV,HOISTWAY 11kW</t>
  </si>
  <si>
    <t>20410992G2700</t>
  </si>
  <si>
    <t>CP WBSS-SE,PWM INV,HOISTWAY 15kW</t>
  </si>
  <si>
    <t>20410992G2800</t>
  </si>
  <si>
    <t>CP WBSS-SE,PWM INV,HOISTWAY 22kW</t>
  </si>
  <si>
    <t>20411102G0100</t>
    <phoneticPr fontId="1" type="noConversion"/>
  </si>
  <si>
    <t>WBLX-SE_ELD,STD INV,GI</t>
  </si>
  <si>
    <t>CP WBLX-SE_ELD,STD INV,GI 7.5kW</t>
  </si>
  <si>
    <t>20411102G0200</t>
  </si>
  <si>
    <t>CP WBLX-SE_ELD,STD INV,GI 11kW</t>
  </si>
  <si>
    <t>20411102G0300</t>
  </si>
  <si>
    <t>CP WBLX-SE_ELD,STD INV,GI 15kW</t>
  </si>
  <si>
    <t>20411102G0400</t>
  </si>
  <si>
    <t>CP WBLX-SE_ELD,STD INV,GI 22kW</t>
  </si>
  <si>
    <t>20411104G0100</t>
  </si>
  <si>
    <t>WBLX-SE_ELD,PWM INV,GI</t>
  </si>
  <si>
    <t>CP WBLX-SE_ELD,PWM INV,GI 7.5kW</t>
  </si>
  <si>
    <t>20411104G0200</t>
  </si>
  <si>
    <t>CP WBLX-SE_ELD,PWM INV,GI 11kW</t>
  </si>
  <si>
    <t>20411104G0300</t>
  </si>
  <si>
    <t>CP WBLX-SE_ELD,PWM INV,GI 15kW</t>
  </si>
  <si>
    <t>20411104G0400</t>
  </si>
  <si>
    <t>CP WBLX-SE_ELD,PWM INV,GI 22kW</t>
  </si>
  <si>
    <t>20411106G0100</t>
  </si>
  <si>
    <t>WBSS-SE,STD INV,SUS(DOOR),LH</t>
  </si>
  <si>
    <t>CP WBSS-SE,STD INV,SUS(DOOR),LH 7.5kW,HH</t>
  </si>
  <si>
    <t>20411106G0200</t>
  </si>
  <si>
    <t>CP WBSS-SE,STD INV,SUS(DOOR),LH 11kW,HH=</t>
  </si>
  <si>
    <t>20411106G0300</t>
  </si>
  <si>
    <t>CP WBSS-SE,STD INV,SUS(DOOR),LH 15kW,HH=</t>
  </si>
  <si>
    <t>20411106G0400</t>
  </si>
  <si>
    <t>CP WBSS-SE,STD INV,SUS(DOOR),LH 22kW,HH=</t>
  </si>
  <si>
    <t>20411106G0600</t>
  </si>
  <si>
    <t>20411106G0700</t>
  </si>
  <si>
    <t>20411106G0800</t>
  </si>
  <si>
    <t>20411106G0900</t>
    <phoneticPr fontId="1" type="noConversion"/>
  </si>
  <si>
    <t>20411106G1100</t>
  </si>
  <si>
    <t>20411106G1200</t>
  </si>
  <si>
    <t>20411106G1300</t>
  </si>
  <si>
    <t>20411106G1400</t>
  </si>
  <si>
    <t>20411106G1600</t>
  </si>
  <si>
    <t>WBSS-SE,STD INV,SUS(DOOR),RH</t>
  </si>
  <si>
    <t>CP WBSS-SE,STD INV,SUS(DOOR),RH 7.5kW,HH</t>
  </si>
  <si>
    <t>20411106G1700</t>
  </si>
  <si>
    <t>CP WBSS-SE,STD INV,SUS(DOOR),RH 11kW,HH=</t>
  </si>
  <si>
    <t>20411106G1800</t>
  </si>
  <si>
    <t>CP WBSS-SE,STD INV,SUS(DOOR),RH 15kW,HH=</t>
  </si>
  <si>
    <t>20411106G1900</t>
  </si>
  <si>
    <t>CP WBSS-SE,STD INV,SUS(DOOR),RH 22kW,HH=</t>
  </si>
  <si>
    <t>20411106G2100</t>
  </si>
  <si>
    <t>20411106G2200</t>
  </si>
  <si>
    <t>20411106G2300</t>
  </si>
  <si>
    <t>20411106G2400</t>
  </si>
  <si>
    <t>20411106G2600</t>
  </si>
  <si>
    <t>20411106G2700</t>
  </si>
  <si>
    <t>20411106G2800</t>
  </si>
  <si>
    <t>20411106G2900</t>
  </si>
  <si>
    <t>20411108G0100</t>
  </si>
  <si>
    <t>WBSS-SE,PWM INV,SUS(DOOR),LH</t>
  </si>
  <si>
    <t>CP WBSS-SE,PWM INV,SUS(DOOR),LH 7.5kW,HH</t>
  </si>
  <si>
    <t>20411108G0200</t>
  </si>
  <si>
    <t>CP WBSS-SE,PWM INV,SUS(DOOR),LH 11kW,HH=</t>
  </si>
  <si>
    <t>20411108G0300</t>
  </si>
  <si>
    <t>CP WBSS-SE,PWM INV,SUS(DOOR),LH 15kW,HH=</t>
  </si>
  <si>
    <t>20411108G0400</t>
  </si>
  <si>
    <t>CP WBSS-SE,PWM INV,SUS(DOOR),LH 22kW,HH=</t>
  </si>
  <si>
    <t>20411108G0500</t>
  </si>
  <si>
    <t>20411108G0600</t>
  </si>
  <si>
    <t>20411108G0700</t>
  </si>
  <si>
    <t>20411108G0800</t>
  </si>
  <si>
    <t>20411108G0900</t>
  </si>
  <si>
    <t>20411108G1000</t>
  </si>
  <si>
    <t>20411108G1100</t>
  </si>
  <si>
    <t>20411108G1200</t>
  </si>
  <si>
    <t>20411108G1300</t>
  </si>
  <si>
    <t>WBSS-SE,PWM INV,SUS(DOOR),RH</t>
  </si>
  <si>
    <t>CP WBSS-SE,PWM INV,SUS(DOOR),RH 7.5kW,HH</t>
  </si>
  <si>
    <t>20411108G1400</t>
  </si>
  <si>
    <t>CP WBSS-SE,PWM INV,SUS(DOOR),RH 11kW,HH=</t>
  </si>
  <si>
    <t>20411108G1500</t>
  </si>
  <si>
    <t>CP WBSS-SE,PWM INV,SUS(DOOR),RH 15kW,HH=</t>
  </si>
  <si>
    <t>20411108G1600</t>
  </si>
  <si>
    <t>CP WBSS-SE,PWM INV,SUS(DOOR),RH 22kW,HH=</t>
  </si>
  <si>
    <t>20411108G1700</t>
  </si>
  <si>
    <t>20411108G1800</t>
  </si>
  <si>
    <t>20411108G1900</t>
  </si>
  <si>
    <t>20411108G2000</t>
  </si>
  <si>
    <t>20411108G2100</t>
  </si>
  <si>
    <t>20411108G2200</t>
  </si>
  <si>
    <t>20411108G2300</t>
  </si>
  <si>
    <t>20411108G2400</t>
  </si>
  <si>
    <t>CP CABINET</t>
  </si>
  <si>
    <t>20411047G0100</t>
  </si>
  <si>
    <t>WBSS-SE,STD INV,SUSHL_304,LH</t>
  </si>
  <si>
    <t>CP CABINET WBSS-SE,STD INV,SUSHL_304,LH</t>
  </si>
  <si>
    <t>20411047G0200</t>
  </si>
  <si>
    <t>20411047G0300</t>
  </si>
  <si>
    <t>20411047G0400</t>
  </si>
  <si>
    <t>WBSS-SE,STD INV,SUSHL_304,RH</t>
  </si>
  <si>
    <t>CP CABINET WBSS-SE,STD INV,SUSHL_304,RH</t>
  </si>
  <si>
    <t>20411047G0500</t>
  </si>
  <si>
    <t>20411047G0600</t>
  </si>
  <si>
    <t>20411047G0700</t>
  </si>
  <si>
    <t>CP CABINET WBSS-SE,STD INV,HOISTWAY 7.5~</t>
  </si>
  <si>
    <t>20411048G0100</t>
  </si>
  <si>
    <t>20411048G0200</t>
  </si>
  <si>
    <t>20411048G0300</t>
  </si>
  <si>
    <t>20411048G0400</t>
  </si>
  <si>
    <t>20411048G0500</t>
  </si>
  <si>
    <t>20411048G0600</t>
  </si>
  <si>
    <t>20411048G0700</t>
  </si>
  <si>
    <t>CP CABINET WBSS-SE,STD INV,HOISTWAY 22kW</t>
  </si>
  <si>
    <t>20411050G0100</t>
  </si>
  <si>
    <t>WBSS-SE,PWM INV,SUSHL_304,LH</t>
  </si>
  <si>
    <t>CP CABINET WBSS-SE,PWM INV,SUSHL_304,LH</t>
  </si>
  <si>
    <t>20411050G0200</t>
  </si>
  <si>
    <t>20411050G0300</t>
  </si>
  <si>
    <t>20411050G0400</t>
  </si>
  <si>
    <t>WBSS-SE,PWM INV,SUSHL_304,RH</t>
  </si>
  <si>
    <t>CP CABINET WBSS-SE,PWM INV,SUSHL_304,RH</t>
  </si>
  <si>
    <t>20411050G0500</t>
  </si>
  <si>
    <t>20411050G0600</t>
  </si>
  <si>
    <t>20411050G0700</t>
  </si>
  <si>
    <t>CP CABINET WBSS-SE,PWM INV,HOISTWAY 7.5~</t>
  </si>
  <si>
    <t>20411051G0100</t>
  </si>
  <si>
    <t>20411051G0200</t>
  </si>
  <si>
    <t>20411051G0300</t>
  </si>
  <si>
    <t>20411051G0400</t>
  </si>
  <si>
    <t>20411051G0500</t>
  </si>
  <si>
    <t>20411051G0600</t>
  </si>
  <si>
    <t>20411051G0700</t>
  </si>
  <si>
    <t>CP CABINET WBSS-SE,PWM INV,HOISTWAY 22kW</t>
  </si>
  <si>
    <t>CP</t>
  </si>
  <si>
    <t>20411113G0100</t>
  </si>
  <si>
    <t>7.5KW</t>
  </si>
  <si>
    <t>WBSS-SE,STD INV,SUSHL_304(DOOR),LH</t>
  </si>
  <si>
    <t>20411113G0200</t>
  </si>
  <si>
    <t>11KW</t>
  </si>
  <si>
    <t>20411113G0300</t>
  </si>
  <si>
    <t>15KW</t>
  </si>
  <si>
    <t>20411113G0400</t>
  </si>
  <si>
    <t>22KW</t>
  </si>
  <si>
    <t>WBSS-SE,STD INV,SUSHL_304(DOOR),RH</t>
  </si>
  <si>
    <t>20411113G0500</t>
  </si>
  <si>
    <t>20411113G0600</t>
  </si>
  <si>
    <t>20411114G0100</t>
  </si>
  <si>
    <t>20411114G0200</t>
  </si>
  <si>
    <t>20411114G0300</t>
  </si>
  <si>
    <t>20411114G0400</t>
  </si>
  <si>
    <t>20411114G0500</t>
  </si>
  <si>
    <t>20411114G0600</t>
  </si>
  <si>
    <t>20411115G0100</t>
    <phoneticPr fontId="1" type="noConversion"/>
  </si>
  <si>
    <t>WBSS-SE,PWM INV,SUSHL_304(DOOR),LH</t>
  </si>
  <si>
    <t>20411115G0200</t>
  </si>
  <si>
    <t>20411115G0300</t>
  </si>
  <si>
    <t>20411115G0400</t>
  </si>
  <si>
    <t>WBSS-SE,PWM INV,SUSHL_304(DOOR),RH</t>
  </si>
  <si>
    <t>20411115G0500</t>
  </si>
  <si>
    <t>20411115G0600</t>
  </si>
  <si>
    <t>20411116G0100</t>
  </si>
  <si>
    <t>20411116G0200</t>
  </si>
  <si>
    <t>20411116G0300</t>
  </si>
  <si>
    <t>20411116G0400</t>
  </si>
  <si>
    <t>20411116G0500</t>
  </si>
  <si>
    <t>20411116G0600</t>
  </si>
  <si>
    <t>CP 내작비용</t>
    <phoneticPr fontId="1" type="noConversion"/>
  </si>
  <si>
    <t>20410686G050A</t>
  </si>
  <si>
    <t>CP ASSY</t>
  </si>
  <si>
    <t>20410987G0100</t>
    <phoneticPr fontId="1" type="noConversion"/>
  </si>
  <si>
    <t>7.5kW</t>
  </si>
  <si>
    <t>일반, 7.5KW, SINCOS, ALL SUS, 2100, LEFT HINGE</t>
  </si>
  <si>
    <t>20410987G0200</t>
  </si>
  <si>
    <t>11kW</t>
  </si>
  <si>
    <t>일반, 11KW, SINCOS, ALL SUS, 2100, LEFT HINGE</t>
  </si>
  <si>
    <t>20410987G0300</t>
  </si>
  <si>
    <t>15kW</t>
  </si>
  <si>
    <t>일반, 15KW, SINCOS, ALL SUS, 2100, LEFT HINGE</t>
  </si>
  <si>
    <t>20410987G0400</t>
    <phoneticPr fontId="1" type="noConversion"/>
  </si>
  <si>
    <t>22kW</t>
  </si>
  <si>
    <t>일반, 22KW, SINCOS, ALL SUS, 2100, LEFT HINGE</t>
  </si>
  <si>
    <t>20410987G0600</t>
    <phoneticPr fontId="1" type="noConversion"/>
  </si>
  <si>
    <t>일반, 7.5KW, SINCOS, ALL SUS, 2200, LEFT HINGE</t>
  </si>
  <si>
    <t>20410987G0700</t>
    <phoneticPr fontId="1" type="noConversion"/>
  </si>
  <si>
    <t>일반, 11KW, SINCOS, ALL SUS, 2200, LEFT HINGE</t>
  </si>
  <si>
    <t>20410987G0800</t>
    <phoneticPr fontId="1" type="noConversion"/>
  </si>
  <si>
    <t>일반, 15KW, SINCOS, ALL SUS, 2200, LEFT HINGE</t>
  </si>
  <si>
    <t>20410987G0900</t>
    <phoneticPr fontId="1" type="noConversion"/>
  </si>
  <si>
    <t>일반, 22KW, SINCOS, ALL SUS, 2200, LEFT HINGE</t>
  </si>
  <si>
    <t>20410987G1100</t>
  </si>
  <si>
    <t>일반, 7.5KW, SINCOS, ALL SUS, 2400, LEFT HINGE</t>
  </si>
  <si>
    <t>20410987G1200</t>
  </si>
  <si>
    <t>일반, 11KW, SINCOS, ALL SUS, 2400, LEFT HINGE</t>
  </si>
  <si>
    <t>20410987G1300</t>
  </si>
  <si>
    <t>일반, 15KW, SINCOS, ALL SUS, 2400, LEFT HINGE</t>
  </si>
  <si>
    <t>20410987G1400</t>
  </si>
  <si>
    <t>일반, 22KW, SINCOS, ALL SUS, 2400, LEFT HINGE</t>
  </si>
  <si>
    <t>20410987G1600</t>
    <phoneticPr fontId="1" type="noConversion"/>
  </si>
  <si>
    <t>일반, 7.5KW, SINCOS, ALL SUS, 2100, RIGHT HINGE</t>
  </si>
  <si>
    <t>20410987G1700</t>
  </si>
  <si>
    <t>일반, 11KW, SINCOS, ALL SUS, 2100, RIGHT HINGE</t>
  </si>
  <si>
    <t>20410987G1800</t>
  </si>
  <si>
    <t>일반, 15KW, SINCOS, ALL SUS, 2100, RIGHT HINGE</t>
  </si>
  <si>
    <t>20410987G1900</t>
  </si>
  <si>
    <t>일반, 22KW, SINCOS, ALL SUS, 2100, RIGHT HINGE</t>
  </si>
  <si>
    <t>20410987G2100</t>
  </si>
  <si>
    <t>일반, 7.5KW, SINCOS, ALL SUS, 2200, RIGHT HINGE</t>
  </si>
  <si>
    <t>20410987G2200</t>
  </si>
  <si>
    <t>일반, 11KW, SINCOS, ALL SUS, 2200, RIGHT HINGE</t>
  </si>
  <si>
    <t>20410987G2300</t>
  </si>
  <si>
    <t>일반, 15KW, SINCOS, ALL SUS, 2200, RIGHT HINGE</t>
  </si>
  <si>
    <t>20410987G2400</t>
  </si>
  <si>
    <t>일반, 22KW, SINCOS, ALL SUS, 2200, RIGHT HINGE</t>
  </si>
  <si>
    <t>20410987G2600</t>
  </si>
  <si>
    <t>일반, 7.5KW, SINCOS, ALL SUS, 2400, RIGHT HINGE</t>
  </si>
  <si>
    <t>20410987G2700</t>
  </si>
  <si>
    <t>일반, 11KW, SINCOS, ALL SUS, 2400, RIGHT HINGE</t>
  </si>
  <si>
    <t>20410987G2800</t>
  </si>
  <si>
    <t>일반, 15KW, SINCOS, ALL SUS, 2400, RIGHT HINGE</t>
  </si>
  <si>
    <t>20410987G2900</t>
  </si>
  <si>
    <t>일반, 22KW, SINCOS, ALL SUS, 2400, RIGHT HINGE</t>
  </si>
  <si>
    <t>20410989G0100</t>
  </si>
  <si>
    <t>GI+PAINT 내작비용</t>
  </si>
  <si>
    <t>20410989G0200</t>
  </si>
  <si>
    <t>20410989G0300</t>
  </si>
  <si>
    <t>20410989G0400</t>
  </si>
  <si>
    <t>20410989G0600</t>
  </si>
  <si>
    <t>20410989G0700</t>
  </si>
  <si>
    <t>20410989G0800</t>
  </si>
  <si>
    <t>20410989G0900</t>
  </si>
  <si>
    <t>20410991G0100</t>
  </si>
  <si>
    <t>ALL SUS-HL 내작비용</t>
  </si>
  <si>
    <t>20410991G0200</t>
  </si>
  <si>
    <t>20410991G0300</t>
  </si>
  <si>
    <t>20410991G0400</t>
  </si>
  <si>
    <t>20410991G1300</t>
  </si>
  <si>
    <t>20410991G1400</t>
  </si>
  <si>
    <t>20410991G1500</t>
  </si>
  <si>
    <t>20410991G1600</t>
  </si>
  <si>
    <t>20410991G2900</t>
  </si>
  <si>
    <t>20410991G3000</t>
  </si>
  <si>
    <t>20410991G3100</t>
  </si>
  <si>
    <t>20410991G3200</t>
  </si>
  <si>
    <t>20410991G4100</t>
  </si>
  <si>
    <t>20410991G4200</t>
  </si>
  <si>
    <t>20410991G4300</t>
  </si>
  <si>
    <t>20410991G4400</t>
  </si>
  <si>
    <t>20411101G0100</t>
  </si>
  <si>
    <t>GI 내작비용</t>
  </si>
  <si>
    <t>20411101G0200</t>
  </si>
  <si>
    <t>20411101G0300</t>
  </si>
  <si>
    <t>20411101G0400</t>
  </si>
  <si>
    <t>20411101G0600</t>
  </si>
  <si>
    <t>20411101G0700</t>
  </si>
  <si>
    <t>20411101G0800</t>
  </si>
  <si>
    <t>20411101G0900</t>
  </si>
  <si>
    <t>20411103G0100</t>
  </si>
  <si>
    <t>20411103G0200</t>
  </si>
  <si>
    <t>20411103G0300</t>
  </si>
  <si>
    <t>20411103G0400</t>
  </si>
  <si>
    <t>20411103G0600</t>
  </si>
  <si>
    <t>20411103G0700</t>
  </si>
  <si>
    <t>20411103G0800</t>
  </si>
  <si>
    <t>20411103G0900</t>
  </si>
  <si>
    <t>20411105G0100</t>
    <phoneticPr fontId="1" type="noConversion"/>
  </si>
  <si>
    <t>일반, 7.5KW, SINCOS, DOOR SUS, 2100, LEFT HINGE</t>
  </si>
  <si>
    <t>20411105G0200</t>
  </si>
  <si>
    <t>일반, 11KW, SINCOS, DOOR SUS, 2100, LEFT HINGE</t>
  </si>
  <si>
    <t>20411105G0300</t>
  </si>
  <si>
    <t>일반, 15KW, SINCOS, DOOR SUS, 2100, LEFT HINGE</t>
  </si>
  <si>
    <t>20411105G0400</t>
  </si>
  <si>
    <t>일반, 22KW, SINCOS, DOOR SUS, 2100, LEFT HINGE</t>
  </si>
  <si>
    <t>20411105G0600</t>
  </si>
  <si>
    <t>일반, 7.5KW, SINCOS, DOOR SUS, 2200, LEFT HINGE</t>
  </si>
  <si>
    <t>20411105G0700</t>
  </si>
  <si>
    <t>일반, 11KW, SINCOS, DOOR SUS, 2200, LEFT HINGE</t>
  </si>
  <si>
    <t>20411105G0800</t>
  </si>
  <si>
    <t>일반, 15KW, SINCOS, DOOR SUS, 2200, LEFT HINGE</t>
  </si>
  <si>
    <t>20411105G0900</t>
  </si>
  <si>
    <t>일반, 22KW, SINCOS, DOOR SUS, 2200, LEFT HINGE</t>
  </si>
  <si>
    <t>20411105G1100</t>
  </si>
  <si>
    <t>일반, 7.5KW, SINCOS, DOOR SUS, 2400, LEFT HINGE</t>
  </si>
  <si>
    <t>20411105G1200</t>
  </si>
  <si>
    <t>일반, 11KW, SINCOS, DOOR SUS, 2400, LEFT HINGE</t>
  </si>
  <si>
    <t>20411105G1300</t>
  </si>
  <si>
    <t>일반, 15KW, SINCOS, DOOR SUS, 2400, LEFT HINGE</t>
  </si>
  <si>
    <t>20411105G1400</t>
  </si>
  <si>
    <t>일반, 22KW, SINCOS, DOOR SUS, 2400, LEFT HINGE</t>
  </si>
  <si>
    <t>20411105G1600</t>
    <phoneticPr fontId="1" type="noConversion"/>
  </si>
  <si>
    <t>일반, 7.5KW, SINCOS, DOOR SUS, 2100, RIGHT HINGE</t>
  </si>
  <si>
    <t>20411105G1700</t>
  </si>
  <si>
    <t>일반, 11KW, SINCOS, DOOR SUS, 2100, RIGHT HINGE</t>
  </si>
  <si>
    <t>20411105G1800</t>
  </si>
  <si>
    <t>일반, 15KW, SINCOS, DOOR SUS, 2100, RIGHT HINGE</t>
  </si>
  <si>
    <t>20411105G1900</t>
  </si>
  <si>
    <t>일반, 22KW, SINCOS, DOOR SUS, 2100, RIGHT HINGE</t>
  </si>
  <si>
    <t>20411105G2100</t>
  </si>
  <si>
    <t>일반, 7.5KW, SINCOS, DOOR SUS, 2200, RIGHT HINGE</t>
  </si>
  <si>
    <t>20411105G2200</t>
  </si>
  <si>
    <t>일반, 11KW, SINCOS, DOOR SUS, 2200, RIGHT HINGE</t>
  </si>
  <si>
    <t>20411105G2300</t>
  </si>
  <si>
    <t>일반, 15KW, SINCOS, DOOR SUS, 2200, RIGHT HINGE</t>
  </si>
  <si>
    <t>20411105G2400</t>
  </si>
  <si>
    <t>일반, 22KW, SINCOS, DOOR SUS, 2200, RIGHT HINGE</t>
  </si>
  <si>
    <t>20411105G2600</t>
  </si>
  <si>
    <t>일반, 7.5KW, SINCOS, DOOR SUS, 2400, RIGHT HINGE</t>
  </si>
  <si>
    <t>20411105G2700</t>
  </si>
  <si>
    <t>일반, 11KW, SINCOS, DOOR SUS, 2400, RIGHT HINGE</t>
  </si>
  <si>
    <t>20411105G2800</t>
  </si>
  <si>
    <t>일반, 15KW, SINCOS, DOOR SUS, 2400, RIGHT HINGE</t>
  </si>
  <si>
    <t>20411105G2900</t>
  </si>
  <si>
    <t>일반, 22KW, SINCOS, DOOR SUS, 2400, RIGHT HINGE</t>
  </si>
  <si>
    <t>20411105G3600</t>
  </si>
  <si>
    <t>일반, 7.5KW, INCREMENTAL, DOOR SUS, 2100, LEFT HINGE</t>
  </si>
  <si>
    <t>20411105G3700</t>
  </si>
  <si>
    <t>일반, 11KW, INCREMENTAL, DOOR SUS, 2100, LEFT HINGE</t>
  </si>
  <si>
    <t>20411105G3800</t>
  </si>
  <si>
    <t>일반, 15KW, INCREMENTAL, DOOR SUS, 2100, LEFT HINGE</t>
  </si>
  <si>
    <t>20411105G3900</t>
  </si>
  <si>
    <t>일반, 22KW, INCREMENTAL, DOOR SUS, 2100, LEFT HINGE</t>
  </si>
  <si>
    <t>20411105G4100</t>
  </si>
  <si>
    <t>일반, 7.5KW, INCREMENTAL, DOOR SUS, 2200, LEFT HINGE</t>
  </si>
  <si>
    <t>20411105G4200</t>
  </si>
  <si>
    <t>일반, 11KW, INCREMENTAL, DOOR SUS, 2200, LEFT HINGE</t>
  </si>
  <si>
    <t>20411105G4300</t>
  </si>
  <si>
    <t>일반, 15KW, INCREMENTAL, DOOR SUS, 2200, LEFT HINGE</t>
  </si>
  <si>
    <t>20411105G4400</t>
  </si>
  <si>
    <t>일반, 22KW, INCREMENTAL, DOOR SUS, 2200, LEFT HINGE</t>
  </si>
  <si>
    <t>20411105G4600</t>
  </si>
  <si>
    <t>일반, 7.5KW, INCREMENTAL, DOOR SUS, 2400, LEFT HINGE</t>
  </si>
  <si>
    <t>20411105G4700</t>
  </si>
  <si>
    <t>일반, 11KW, INCREMENTAL, DOOR SUS, 2400, LEFT HINGE</t>
  </si>
  <si>
    <t>20411105G4800</t>
  </si>
  <si>
    <t>일반, 15KW, INCREMENTAL, DOOR SUS, 2400, LEFT HINGE</t>
  </si>
  <si>
    <t>20411105G4900</t>
  </si>
  <si>
    <t>일반, 22KW, INCREMENTAL, DOOR SUS, 2400, LEFT HINGE</t>
  </si>
  <si>
    <t>20411105G5100</t>
  </si>
  <si>
    <t>일반, 7.5KW, INCREMENTAL, DOOR SUS, 2100, RIGHT HINGE</t>
  </si>
  <si>
    <t>20411105G5200</t>
  </si>
  <si>
    <t>일반, 11KW, INCREMENTAL, DOOR SUS, 2100, RIGHT HINGE</t>
  </si>
  <si>
    <t>20411105G5300</t>
  </si>
  <si>
    <t>일반, 15KW, INCREMENTAL, DOOR SUS, 2100, RIGHT HINGE</t>
  </si>
  <si>
    <t>20411105G5400</t>
  </si>
  <si>
    <t>일반, 22KW, INCREMENTAL, DOOR SUS, 2100, RIGHT HINGE</t>
  </si>
  <si>
    <t>20411105G5600</t>
  </si>
  <si>
    <t>일반, 7.5KW, INCREMENTAL, DOOR SUS, 2200, RIGHT HINGE</t>
  </si>
  <si>
    <t>20411105G5700</t>
  </si>
  <si>
    <t>일반, 11KW, INCREMENTAL, DOOR SUS, 2200, RIGHT HINGE</t>
  </si>
  <si>
    <t>20411105G5800</t>
  </si>
  <si>
    <t>일반, 15KW, INCREMENTAL, DOOR SUS, 2200, RIGHT HINGE</t>
  </si>
  <si>
    <t>20411105G5900</t>
  </si>
  <si>
    <t>일반, 22KW, INCREMENTAL, DOOR SUS, 2200, RIGHT HINGE</t>
  </si>
  <si>
    <t>20411105G6100</t>
  </si>
  <si>
    <t>일반, 7.5KW, INCREMENTAL, DOOR SUS, 2400, RIGHT HINGE</t>
  </si>
  <si>
    <t>20411105G6200</t>
  </si>
  <si>
    <t>일반, 11KW, INCREMENTAL, DOOR SUS, 2400, RIGHT HINGE</t>
  </si>
  <si>
    <t>20411105G6300</t>
  </si>
  <si>
    <t>일반, 15KW, INCREMENTAL, DOOR SUS, 2400, RIGHT HINGE</t>
  </si>
  <si>
    <t>20411105G6400</t>
  </si>
  <si>
    <t>일반, 22KW, INCREMENTAL, DOOR SUS, 2400, RIGHT HINGE</t>
  </si>
  <si>
    <t>20411311G0100</t>
  </si>
  <si>
    <t>20411311G0200</t>
    <phoneticPr fontId="1" type="noConversion"/>
  </si>
  <si>
    <t>20411311G0300</t>
  </si>
  <si>
    <t>20411311G0400</t>
    <phoneticPr fontId="1" type="noConversion"/>
  </si>
  <si>
    <t>20401508G0100</t>
  </si>
  <si>
    <t>20411025G0100</t>
  </si>
  <si>
    <t>WB100-SE</t>
  </si>
  <si>
    <t>HHT WB100-SE .</t>
  </si>
  <si>
    <t>INVERTER</t>
  </si>
  <si>
    <t>20302071G0100</t>
    <phoneticPr fontId="1" type="noConversion"/>
  </si>
  <si>
    <t>20302071P0100</t>
  </si>
  <si>
    <t>20302159G0200</t>
  </si>
  <si>
    <t>WB121GT ELD_SE_WBVF2</t>
  </si>
  <si>
    <t>INVERTER WB121GT ELD_SE_WBVF2 7.5kW,SINC</t>
  </si>
  <si>
    <t>20302159G0400</t>
  </si>
  <si>
    <t>INVERTER WB121GT ELD_SE_WBVF2 7.5kW,INCR</t>
  </si>
  <si>
    <t>20302160G0100</t>
  </si>
  <si>
    <t>INVERTER WB121GT ELD_SE_WBVF2 11kW,SINCO</t>
  </si>
  <si>
    <t>20302160G0200</t>
  </si>
  <si>
    <t>INVERTER WB121GT ELD_SE_WBVF2 15kW,SINCO</t>
  </si>
  <si>
    <t>20302160G0300</t>
  </si>
  <si>
    <t>INVERTER WB121GT ELD_SE_WBVF2 11kW,INCRE</t>
  </si>
  <si>
    <t>20302160G0400</t>
  </si>
  <si>
    <t>INVERTER WB121GT ELD_SE_WBVF2 15kW,INCRE</t>
  </si>
  <si>
    <t>20302161G0100</t>
  </si>
  <si>
    <t>INVERTER WB121GT ELD_SE_WBVF2 22kW,SINCO</t>
  </si>
  <si>
    <t>20302161G0200</t>
  </si>
  <si>
    <t>INVERTER WB121GT ELD_SE_WBVF2 22kW,INCRE</t>
  </si>
  <si>
    <t>20302162G0100</t>
    <phoneticPr fontId="1" type="noConversion"/>
  </si>
  <si>
    <t>WB210_SE</t>
  </si>
  <si>
    <t>INVERTER WB210_SE 7.5kW,SINCOS ENC.</t>
  </si>
  <si>
    <t>20302162G0200</t>
  </si>
  <si>
    <t>INVERTER WB210_SE 11kW,SINCOS ENC.</t>
  </si>
  <si>
    <t>20302162G0300</t>
  </si>
  <si>
    <t>INVERTER WB210_SE 15kW,SINCOS ENC.</t>
  </si>
  <si>
    <t>20302162G0400</t>
  </si>
  <si>
    <t>INVERTER WB210_SE 7.5kW,INCREMENTAL ENC.</t>
  </si>
  <si>
    <t>20302162G0500</t>
  </si>
  <si>
    <t>INVERTER WB210_SE 11kW,INCREMENTAL ENC.</t>
  </si>
  <si>
    <t>20302162G0600</t>
  </si>
  <si>
    <t>INVERTER WB210_SE 15kW,INCREMENTAL ENC.</t>
  </si>
  <si>
    <t>20302163G0100</t>
  </si>
  <si>
    <t>INVERTER WB210_SE 22kW,SINCOS ENC.</t>
  </si>
  <si>
    <t>20302163G0300</t>
  </si>
  <si>
    <t>INVERTER WB210_SE 22kW,INCREMENTAL ENC.</t>
  </si>
  <si>
    <t>INVERTER (내작비용)</t>
    <phoneticPr fontId="1" type="noConversion"/>
  </si>
  <si>
    <t>20302159P0200</t>
  </si>
  <si>
    <t>7.5KW</t>
    <phoneticPr fontId="1" type="noConversion"/>
  </si>
  <si>
    <t>20302160P0100</t>
  </si>
  <si>
    <t>11KW</t>
    <phoneticPr fontId="1" type="noConversion"/>
  </si>
  <si>
    <t>20302160P0200</t>
  </si>
  <si>
    <t>15KW</t>
    <phoneticPr fontId="1" type="noConversion"/>
  </si>
  <si>
    <t>20302161P0100</t>
  </si>
  <si>
    <t>22KW</t>
    <phoneticPr fontId="1" type="noConversion"/>
  </si>
  <si>
    <t>20302159P1000</t>
  </si>
  <si>
    <t>20302160P0900</t>
  </si>
  <si>
    <t>20302160P1000</t>
  </si>
  <si>
    <t>20302161P0500</t>
  </si>
  <si>
    <t>20411310G0100</t>
    <phoneticPr fontId="1" type="noConversion"/>
  </si>
  <si>
    <t>20411310G0200</t>
    <phoneticPr fontId="1" type="noConversion"/>
  </si>
  <si>
    <t>20411310G0300</t>
  </si>
  <si>
    <t>20411310G0400</t>
  </si>
  <si>
    <t>IPM</t>
  </si>
  <si>
    <t>HX045008H0400</t>
  </si>
  <si>
    <t>IPM/PIM</t>
  </si>
  <si>
    <t>HX045007H0100</t>
  </si>
  <si>
    <t>WBSS-PWM</t>
  </si>
  <si>
    <t>HX045007H0300</t>
  </si>
  <si>
    <t>HX045007H0500</t>
  </si>
  <si>
    <t>15kW</t>
    <phoneticPr fontId="1" type="noConversion"/>
  </si>
  <si>
    <t>HX045008H0100</t>
  </si>
  <si>
    <t>HX045016H0100</t>
  </si>
  <si>
    <t>WBLX-SE</t>
  </si>
  <si>
    <t>HX045016H0300</t>
  </si>
  <si>
    <t>HX045019H0100</t>
  </si>
  <si>
    <t>MCCB</t>
  </si>
  <si>
    <t>HX062002H0900</t>
  </si>
  <si>
    <t>DBE-54NS</t>
  </si>
  <si>
    <t>20A</t>
  </si>
  <si>
    <t>HX062002H1000</t>
  </si>
  <si>
    <t>30A</t>
  </si>
  <si>
    <t>HX062002H1100</t>
  </si>
  <si>
    <t>40A</t>
  </si>
  <si>
    <t>HX062002H1300</t>
  </si>
  <si>
    <t>DBE-64NS</t>
  </si>
  <si>
    <t>60A</t>
  </si>
  <si>
    <t>HX062002H2000</t>
  </si>
  <si>
    <t>DAERYUK, 20A, 3P</t>
  </si>
  <si>
    <t>20A, 3P</t>
  </si>
  <si>
    <t>HX062002H3000</t>
  </si>
  <si>
    <t>HX062002H4000</t>
  </si>
  <si>
    <t>HX062002H7500</t>
  </si>
  <si>
    <t>HX062014H2000</t>
  </si>
  <si>
    <t>20A, 4P</t>
  </si>
  <si>
    <t>HX062014H3000</t>
  </si>
  <si>
    <t>30A, 4P</t>
  </si>
  <si>
    <t>HX062014H4000</t>
  </si>
  <si>
    <t>40A, 4P</t>
  </si>
  <si>
    <t>HX062014H6000</t>
  </si>
  <si>
    <t>60A, 4P</t>
  </si>
  <si>
    <t>MR타입 PWM 내부 취부</t>
  </si>
  <si>
    <t>20610102G0100</t>
  </si>
  <si>
    <t>PWM</t>
  </si>
  <si>
    <t>7.5~15kW</t>
  </si>
  <si>
    <t>20610102G0300</t>
  </si>
  <si>
    <t>22Kw</t>
  </si>
  <si>
    <t>NAME PLATE</t>
  </si>
  <si>
    <t>20410515G0200</t>
  </si>
  <si>
    <t>HX001064H0400</t>
  </si>
  <si>
    <t>NFB COVER</t>
  </si>
  <si>
    <t>HX062012G0100</t>
  </si>
  <si>
    <t>NFB OPT ASSY</t>
  </si>
  <si>
    <t>20410237G0100</t>
    <phoneticPr fontId="1" type="noConversion"/>
  </si>
  <si>
    <t>PC BOARD USAF BOARD WBLX-SE,WBSS-SE</t>
  </si>
  <si>
    <t>PC BOARD VCON BOARD WBLX-SE, WBSS-SE</t>
  </si>
  <si>
    <t>20600093G0100</t>
    <phoneticPr fontId="1" type="noConversion"/>
  </si>
  <si>
    <t>확인필요</t>
  </si>
  <si>
    <t>PIM</t>
  </si>
  <si>
    <t>HX045016H0200</t>
  </si>
  <si>
    <t>RESISTOR BOX</t>
  </si>
  <si>
    <t>20401225G1800</t>
    <phoneticPr fontId="1" type="noConversion"/>
  </si>
  <si>
    <t>RESISTOR BOX ASSY</t>
  </si>
  <si>
    <t>20401225G0100</t>
    <phoneticPr fontId="1" type="noConversion"/>
  </si>
  <si>
    <t>20401225G0300</t>
  </si>
  <si>
    <t>20401225G0400</t>
  </si>
  <si>
    <t>20401225G0600</t>
  </si>
  <si>
    <t>20401225G0800</t>
  </si>
  <si>
    <t>20401225G0900</t>
  </si>
  <si>
    <t>20401225G1900</t>
  </si>
  <si>
    <t>20410388G0300</t>
  </si>
  <si>
    <t>20410451G0300</t>
  </si>
  <si>
    <t>20410451G0400</t>
  </si>
  <si>
    <t>STACK ASSY MODULE</t>
  </si>
  <si>
    <t>20302166G0200</t>
    <phoneticPr fontId="1" type="noConversion"/>
  </si>
  <si>
    <t>STACK ASSY MODULE WB121GT ELD_SE_WBVF2 7</t>
  </si>
  <si>
    <t>20302166G0400</t>
  </si>
  <si>
    <t>20302167G0100</t>
  </si>
  <si>
    <t>STACK ASSY MODULE WB121GT ELD_SE_WBVF2 1</t>
  </si>
  <si>
    <t>20302167G0200</t>
  </si>
  <si>
    <t>20302167G0300</t>
  </si>
  <si>
    <t>20302167G0400</t>
  </si>
  <si>
    <t>20302168G0100</t>
  </si>
  <si>
    <t>STACK ASSY MODULE WB121GT ELD_SE_WBVF2 2</t>
  </si>
  <si>
    <t>20302168G0200</t>
  </si>
  <si>
    <t>20302169G0100</t>
  </si>
  <si>
    <t>STACK ASSY MODULE WB210_SE 7.5kW,SINCOS</t>
  </si>
  <si>
    <t>20302169G0200</t>
  </si>
  <si>
    <t>STACK ASSY MODULE WB210_SE 11kW,SINCOS E</t>
  </si>
  <si>
    <t>20302169G0300</t>
  </si>
  <si>
    <t>STACK ASSY MODULE WB210_SE 15kW,SINCOS E</t>
  </si>
  <si>
    <t>20302169G0400</t>
  </si>
  <si>
    <t>STACK ASSY MODULE WB210_SE 7.5kW,INCREME</t>
  </si>
  <si>
    <t>20302169G0500</t>
  </si>
  <si>
    <t>STACK ASSY MODULE WB210_SE 11kW,INCREMEN</t>
  </si>
  <si>
    <t>20302169G0600</t>
  </si>
  <si>
    <t>STACK ASSY MODULE WB210_SE 15kW,INCREMEN</t>
  </si>
  <si>
    <t>20302170G0100</t>
  </si>
  <si>
    <t>STACK ASSY MODULE WB210_SE 22kW,SINCOS E</t>
  </si>
  <si>
    <t>20302170G0300</t>
  </si>
  <si>
    <t>STACK ASSY MODULE WB210_SE 22kW,INCREMEN</t>
  </si>
  <si>
    <t>TERMINAL LUG</t>
  </si>
  <si>
    <t>20410089G0100</t>
  </si>
  <si>
    <t>20410089G0600</t>
    <phoneticPr fontId="1" type="noConversion"/>
  </si>
  <si>
    <t>20410089G0800</t>
  </si>
  <si>
    <t>TRANSFORMER</t>
  </si>
  <si>
    <t>20401315G0200</t>
  </si>
  <si>
    <t>1KVA, DISK BRAKE</t>
  </si>
  <si>
    <t>TRANSFORMER 1KVA, DISK BRAKE 220V(650VA)</t>
  </si>
  <si>
    <t>20401315G0300</t>
  </si>
  <si>
    <t>1KVA, THROUGH STANDARD</t>
  </si>
  <si>
    <t>TRANSFORMER 1KVA, THROUGH STANDARD 220V(</t>
  </si>
  <si>
    <t>WBLX-SE 일반형 (ELD일체형)</t>
  </si>
  <si>
    <t>20410985G0100</t>
  </si>
  <si>
    <t>20410985G0200</t>
  </si>
  <si>
    <t>20410985G0300</t>
  </si>
  <si>
    <t>20410985G0400</t>
  </si>
  <si>
    <t>20410985G0600</t>
  </si>
  <si>
    <t>20410985G0700</t>
  </si>
  <si>
    <t>20410985G0800</t>
  </si>
  <si>
    <t>20410985G0900</t>
  </si>
  <si>
    <t>WBSS-SE PWM 내작비용</t>
  </si>
  <si>
    <t>20411107G0100</t>
    <phoneticPr fontId="1" type="noConversion"/>
  </si>
  <si>
    <t>DOOR SUSSINCOSDOOR SUS2100LEFT HINGE</t>
  </si>
  <si>
    <t>20411107G0200</t>
  </si>
  <si>
    <t>20411107G0300</t>
  </si>
  <si>
    <t>20411107G0400</t>
  </si>
  <si>
    <t>20411107G0500</t>
  </si>
  <si>
    <t>DOOR SUSSINCOSDOOR SUS2200LEFT HINGE</t>
  </si>
  <si>
    <t>20411107G0600</t>
  </si>
  <si>
    <t>20411107G0700</t>
  </si>
  <si>
    <t>20411107G0800</t>
  </si>
  <si>
    <t>20411107G0900</t>
  </si>
  <si>
    <t>DOOR SUSSINCOSDOOR SUS2400LEFT HINGE</t>
  </si>
  <si>
    <t>20411107G1000</t>
  </si>
  <si>
    <t>20411107G1100</t>
  </si>
  <si>
    <t>20411107G1200</t>
  </si>
  <si>
    <t>20411107G1300</t>
  </si>
  <si>
    <t>DOOR SUSSINCOSDOOR SUS2100RIGHT HINGE</t>
  </si>
  <si>
    <t>20411107G1400</t>
  </si>
  <si>
    <t>20411107G1500</t>
  </si>
  <si>
    <t>20411107G1600</t>
  </si>
  <si>
    <t>20411107G1700</t>
  </si>
  <si>
    <t>DOOR SUSSINCOSDOOR SUS2200RIGHT HINGE</t>
  </si>
  <si>
    <t>20411107G1800</t>
  </si>
  <si>
    <t>20411107G1900</t>
  </si>
  <si>
    <t>20411107G2000</t>
  </si>
  <si>
    <t>20411107G2100</t>
  </si>
  <si>
    <t>DOOR SUSSINCOSDOOR SUS2400RIGHT HINGE</t>
  </si>
  <si>
    <t>20411107G2200</t>
  </si>
  <si>
    <t>20411107G2300</t>
  </si>
  <si>
    <t>20411107G2400</t>
  </si>
  <si>
    <t>20411107G2900</t>
  </si>
  <si>
    <t>DOOR SUSINCREMENTALDOOR SUS2100LEFT HINGE</t>
  </si>
  <si>
    <t>20411107G3000</t>
  </si>
  <si>
    <t>20411107G3100</t>
  </si>
  <si>
    <t>20411107G3200</t>
  </si>
  <si>
    <t>20411107G3300</t>
  </si>
  <si>
    <t>DOOR SUSINCREMENTALDOOR SUS2200LEFT HINGE</t>
  </si>
  <si>
    <t>20411107G3400</t>
  </si>
  <si>
    <t>20411107G3500</t>
  </si>
  <si>
    <t>20411107G3600</t>
  </si>
  <si>
    <t>20411107G3700</t>
  </si>
  <si>
    <t>DOOR SUSINCREMENTALDOOR SUS2400LEFT HINGE</t>
  </si>
  <si>
    <t>20411107G3800</t>
  </si>
  <si>
    <t>20411107G3900</t>
  </si>
  <si>
    <t>20411107G4000</t>
  </si>
  <si>
    <t>20411107G4100</t>
  </si>
  <si>
    <t>DOOR SUSINCREMENTALDOOR SUS2100RIGHT HINGE</t>
  </si>
  <si>
    <t>20411107G4200</t>
  </si>
  <si>
    <t>20411107G4300</t>
  </si>
  <si>
    <t>20411107G4400</t>
  </si>
  <si>
    <t>20411107G4500</t>
  </si>
  <si>
    <t>DOOR SUSINCREMENTALDOOR SUS2200RIGHT HINGE</t>
  </si>
  <si>
    <t>20411107G4600</t>
  </si>
  <si>
    <t>20411107G4700</t>
  </si>
  <si>
    <t>20411107G4800</t>
  </si>
  <si>
    <t>20411107G4900</t>
  </si>
  <si>
    <t>DOOR SUSINCREMENTALDOOR SUS2400RIGHT HINGE</t>
  </si>
  <si>
    <t>20411107G5000</t>
  </si>
  <si>
    <t>20411107G5100</t>
  </si>
  <si>
    <t>20411107G5200</t>
  </si>
  <si>
    <t>WBST-SE_ELD,GI</t>
  </si>
  <si>
    <t>20411315G0100</t>
  </si>
  <si>
    <t>20411315G0200</t>
  </si>
  <si>
    <t>20411315G0300</t>
  </si>
  <si>
    <t>20411315G0400</t>
  </si>
  <si>
    <t>20411314G0100</t>
  </si>
  <si>
    <t>20411314G0200</t>
    <phoneticPr fontId="1" type="noConversion"/>
  </si>
  <si>
    <t>20411314G0300</t>
  </si>
  <si>
    <t>20411314G0400</t>
  </si>
  <si>
    <t>20302159G1000</t>
  </si>
  <si>
    <t>20302160G0900</t>
  </si>
  <si>
    <t>20302160G1000</t>
  </si>
  <si>
    <t>20302161G0500</t>
  </si>
  <si>
    <t>ELD</t>
  </si>
  <si>
    <t>20600130G0100</t>
    <phoneticPr fontId="1" type="noConversion"/>
  </si>
  <si>
    <t>20600137G0200</t>
  </si>
  <si>
    <t>20610068G0900</t>
  </si>
  <si>
    <t>20610068G1100</t>
  </si>
  <si>
    <t>20610070G0300</t>
  </si>
  <si>
    <t>20610071G0900</t>
  </si>
  <si>
    <t>20610102G0900</t>
  </si>
  <si>
    <t>EDNA2S2-SE,W/ BATT</t>
  </si>
  <si>
    <t>ELD EDNA2S2-SE,W/ BATT 380V,INV~15kW,MRL</t>
  </si>
  <si>
    <t>20610102G1100</t>
  </si>
  <si>
    <t>ELD EDNA2S2-SE,W/ BATT 380V,INV~30kW,MRL</t>
  </si>
  <si>
    <t>ELD CABLE ASSY</t>
  </si>
  <si>
    <t>20610066G0100</t>
    <phoneticPr fontId="1" type="noConversion"/>
  </si>
  <si>
    <t>20610066G0200</t>
  </si>
  <si>
    <t>20610066G0300</t>
  </si>
  <si>
    <t>20610066G0400</t>
  </si>
  <si>
    <t>20610066G0500</t>
  </si>
  <si>
    <t>25900958G0200</t>
  </si>
  <si>
    <t>25901027G0400</t>
  </si>
  <si>
    <t>25901067G0100</t>
  </si>
  <si>
    <t>25901067G0200</t>
  </si>
  <si>
    <t>ELD HARNESS CABLE ASSY</t>
  </si>
  <si>
    <t>20610072G0100</t>
  </si>
  <si>
    <t>20610072G0300</t>
  </si>
  <si>
    <t>20610072G0500</t>
  </si>
  <si>
    <t>20610072G0700</t>
    <phoneticPr fontId="1" type="noConversion"/>
  </si>
  <si>
    <t>20610072G0900</t>
  </si>
  <si>
    <t>25901064G0100</t>
  </si>
  <si>
    <t>25901064G0200</t>
  </si>
  <si>
    <t>ELD OPT ASSY</t>
  </si>
  <si>
    <t>20410485G0100</t>
    <phoneticPr fontId="1" type="noConversion"/>
  </si>
  <si>
    <t>20600113G0200</t>
  </si>
  <si>
    <t>28610048G0100</t>
  </si>
  <si>
    <t>CAR TOP BOX ASSY WBLX-SE,WBSS-SE THROUGH</t>
  </si>
  <si>
    <t>28610048G0200</t>
  </si>
  <si>
    <t>28610053G0100</t>
  </si>
  <si>
    <t>28610053G0200</t>
  </si>
  <si>
    <t>N</t>
    <phoneticPr fontId="1" type="noConversion"/>
  </si>
  <si>
    <t>25900770G0200</t>
  </si>
  <si>
    <t>25900914G0200</t>
  </si>
  <si>
    <t>25900914G0500</t>
  </si>
  <si>
    <t>25900932G2000</t>
  </si>
  <si>
    <t>25900932G3000</t>
  </si>
  <si>
    <t>25900933G0500</t>
  </si>
  <si>
    <t>HX00058CH0900</t>
  </si>
  <si>
    <t>HX00058CH1300</t>
  </si>
  <si>
    <t>HX058006H0400</t>
  </si>
  <si>
    <t>KIV 16SQ(GREEN-YELLOW)  750V, 70℃</t>
  </si>
  <si>
    <t>HX058006H0500</t>
  </si>
  <si>
    <t>HX058010H1100</t>
  </si>
  <si>
    <t>HX058017H0100</t>
    <phoneticPr fontId="1" type="noConversion"/>
  </si>
  <si>
    <t>25900983G0100</t>
  </si>
  <si>
    <t>25900984G0100</t>
  </si>
  <si>
    <t>CAR CABLE</t>
  </si>
  <si>
    <t>25900124G0100</t>
  </si>
  <si>
    <t>GROUND CABLE</t>
  </si>
  <si>
    <t>HX058006H0200</t>
  </si>
  <si>
    <t>HX058006H0300</t>
  </si>
  <si>
    <t>GROUP CABLE</t>
  </si>
  <si>
    <t>259D0202G0500</t>
  </si>
  <si>
    <t>HARNESS CABLE</t>
  </si>
  <si>
    <t>25900489G0500</t>
  </si>
  <si>
    <t>25900489G1000</t>
  </si>
  <si>
    <t>25900523G0100</t>
  </si>
  <si>
    <t>25900974G0100</t>
    <phoneticPr fontId="1" type="noConversion"/>
  </si>
  <si>
    <t>259C0150G0200</t>
  </si>
  <si>
    <t>28000177G1000</t>
  </si>
  <si>
    <t>28000287G1400</t>
  </si>
  <si>
    <t>28010450G0100</t>
  </si>
  <si>
    <t>28010474G0100</t>
    <phoneticPr fontId="1" type="noConversion"/>
  </si>
  <si>
    <t>28010474G0900</t>
  </si>
  <si>
    <t>28010474G1900</t>
  </si>
  <si>
    <t>INTERLOCK CABLE</t>
  </si>
  <si>
    <t>25910179G0100</t>
  </si>
  <si>
    <t>MR FIELD CABLE</t>
  </si>
  <si>
    <t>25900933G0200</t>
  </si>
  <si>
    <t>25900933G0300</t>
  </si>
  <si>
    <t>25900933G0400</t>
  </si>
  <si>
    <t>25900933G0600</t>
  </si>
  <si>
    <t>25900933G0700</t>
  </si>
  <si>
    <t>25900933G0800</t>
  </si>
  <si>
    <t>25900933G0900</t>
  </si>
  <si>
    <t>25900933G1000</t>
  </si>
  <si>
    <t>25900933G1100</t>
  </si>
  <si>
    <t>25900933G1200</t>
  </si>
  <si>
    <t>25900933G1300</t>
  </si>
  <si>
    <t>25900933G1400</t>
  </si>
  <si>
    <t>25900933G1500</t>
  </si>
  <si>
    <t>25900933G1600</t>
  </si>
  <si>
    <t>25900933G1700</t>
  </si>
  <si>
    <t>25900933G1800</t>
  </si>
  <si>
    <t>25900933G1900</t>
  </si>
  <si>
    <t>25900933G2000</t>
  </si>
  <si>
    <t>25900933G2100</t>
  </si>
  <si>
    <t>25900933G2200</t>
  </si>
  <si>
    <t>25900933G2300</t>
  </si>
  <si>
    <t>25900933G2400</t>
  </si>
  <si>
    <t>25900933G2500</t>
  </si>
  <si>
    <t>25900933G2600</t>
  </si>
  <si>
    <t>25900933G2700</t>
  </si>
  <si>
    <t>25900933G2800</t>
  </si>
  <si>
    <t>25900933G2900</t>
  </si>
  <si>
    <t>25900933G3000</t>
  </si>
  <si>
    <t>MRL FIELD CABLE</t>
  </si>
  <si>
    <t>25900914G0300</t>
  </si>
  <si>
    <t>25900914G0400</t>
  </si>
  <si>
    <t>25900914G0600</t>
  </si>
  <si>
    <t>25900914G0700</t>
  </si>
  <si>
    <t>25900914G0800</t>
  </si>
  <si>
    <t>25900914G0900</t>
  </si>
  <si>
    <t>25900914G1000</t>
  </si>
  <si>
    <t>25900914G1100</t>
  </si>
  <si>
    <t>25900914G1200</t>
  </si>
  <si>
    <t>25900914G1300</t>
  </si>
  <si>
    <t>25900914G1400</t>
  </si>
  <si>
    <t>25900914G1500</t>
  </si>
  <si>
    <t>25900914G1600</t>
  </si>
  <si>
    <t>25900914G1700</t>
  </si>
  <si>
    <t>25900914G1800</t>
  </si>
  <si>
    <t>25900914G1900</t>
  </si>
  <si>
    <t>25900914G2000</t>
  </si>
  <si>
    <t>25900914G2100</t>
  </si>
  <si>
    <t>25900914G2200</t>
  </si>
  <si>
    <t>25900914G2300</t>
  </si>
  <si>
    <t>25900914G2400</t>
  </si>
  <si>
    <t>25900914G2500</t>
  </si>
  <si>
    <t>25900914G2600</t>
  </si>
  <si>
    <t>25900914G2700</t>
  </si>
  <si>
    <t>25900914G2800</t>
  </si>
  <si>
    <t>25900914G2900</t>
  </si>
  <si>
    <t>25900914G3000</t>
  </si>
  <si>
    <t>PIT SWITCH CABLE</t>
  </si>
  <si>
    <t>25910180G0100</t>
  </si>
  <si>
    <t>PIT ETC CABLE</t>
  </si>
  <si>
    <t>PIT LADDER, GOV TENSION SWITCH CABLE</t>
  </si>
  <si>
    <t>25910180G0200</t>
  </si>
  <si>
    <t>HX058004H0200</t>
  </si>
  <si>
    <t>HX058004H0300</t>
  </si>
  <si>
    <t>HX058004H0400</t>
  </si>
  <si>
    <t>KIV 16.0MMSQx1C, BLACK 750V, 70℃</t>
  </si>
  <si>
    <t>HX058004H0500</t>
  </si>
  <si>
    <t>HX058004H0600</t>
  </si>
  <si>
    <t>T-CABLE(영진 시방용)</t>
    <phoneticPr fontId="1" type="noConversion"/>
  </si>
  <si>
    <t>HX00058CH1100</t>
    <phoneticPr fontId="1" type="noConversion"/>
  </si>
  <si>
    <t xml:space="preserve">CABLE EVVF 0.75x36C+2P SLD+5C-2V COAXIAL      </t>
    <phoneticPr fontId="1" type="noConversion"/>
  </si>
  <si>
    <t>EVVF 0.75x36C+2P SLD+5C-2V COAXIAL, H TYPE KS B 6948</t>
    <phoneticPr fontId="1" type="noConversion"/>
  </si>
  <si>
    <t>홀랜턴용</t>
    <phoneticPr fontId="1" type="noConversion"/>
  </si>
  <si>
    <t>UTP FOR CCTV(연선)</t>
    <phoneticPr fontId="1" type="noConversion"/>
  </si>
  <si>
    <t>R62100000210A</t>
    <phoneticPr fontId="1" type="noConversion"/>
  </si>
  <si>
    <t>UTP FOR CCTV</t>
    <phoneticPr fontId="1" type="noConversion"/>
  </si>
  <si>
    <t>연선</t>
    <phoneticPr fontId="1" type="noConversion"/>
  </si>
  <si>
    <t>의장 BD</t>
  </si>
  <si>
    <t>28010372G1100</t>
    <phoneticPr fontId="1" type="noConversion"/>
  </si>
  <si>
    <t>브라켓 38,000 포함해서 청구해야함</t>
    <phoneticPr fontId="1" type="noConversion"/>
  </si>
  <si>
    <t>28010130H0100 브라켓 자재번호</t>
    <phoneticPr fontId="1" type="noConversion"/>
  </si>
  <si>
    <t>26310576G1300</t>
    <phoneticPr fontId="1" type="noConversion"/>
  </si>
  <si>
    <t>확인필요</t>
    <phoneticPr fontId="1" type="noConversion"/>
  </si>
  <si>
    <t>28010878G1100</t>
    <phoneticPr fontId="1" type="noConversion"/>
  </si>
  <si>
    <t>의장 BD</t>
    <phoneticPr fontId="1" type="noConversion"/>
  </si>
  <si>
    <t>CP TO HALL POWER 1 - 1 CORE 99</t>
  </si>
  <si>
    <t>HX058014H0200</t>
  </si>
  <si>
    <t>CPI</t>
  </si>
  <si>
    <t>26200168G01PL</t>
  </si>
  <si>
    <t>CPI BOARD</t>
    <phoneticPr fontId="1" type="noConversion"/>
  </si>
  <si>
    <t>CPI BOARD</t>
  </si>
  <si>
    <t>DISABLE OPB</t>
  </si>
  <si>
    <t>28100034G05SC</t>
  </si>
  <si>
    <t>HALL BUTTON</t>
  </si>
  <si>
    <t>26310287G10SA</t>
  </si>
  <si>
    <t>HIP</t>
  </si>
  <si>
    <t>26310311G07SA</t>
  </si>
  <si>
    <t>26310311G11SA</t>
  </si>
  <si>
    <t>HIP BOARD</t>
  </si>
  <si>
    <t>26400111G1100</t>
    <phoneticPr fontId="1" type="noConversion"/>
  </si>
  <si>
    <t>26310576G1100</t>
    <phoneticPr fontId="1" type="noConversion"/>
  </si>
  <si>
    <t>26300281G2200</t>
    <phoneticPr fontId="1" type="noConversion"/>
  </si>
  <si>
    <t>HPI</t>
    <phoneticPr fontId="1" type="noConversion"/>
  </si>
  <si>
    <t>26210026G03PL</t>
    <phoneticPr fontId="1" type="noConversion"/>
  </si>
  <si>
    <t>HPI</t>
  </si>
  <si>
    <t>HPI BOARD</t>
  </si>
  <si>
    <t>26400105G1200</t>
    <phoneticPr fontId="1" type="noConversion"/>
  </si>
  <si>
    <t>26210119G1100</t>
    <phoneticPr fontId="1" type="noConversion"/>
  </si>
  <si>
    <t>26200135G1100</t>
    <phoneticPr fontId="1" type="noConversion"/>
  </si>
  <si>
    <t>OPB</t>
  </si>
  <si>
    <t>28000231G05SA</t>
  </si>
  <si>
    <t>OPB BOARD</t>
  </si>
  <si>
    <t>28100053G0100</t>
    <phoneticPr fontId="1" type="noConversion"/>
  </si>
  <si>
    <t>28010878G1200</t>
    <phoneticPr fontId="1" type="noConversion"/>
  </si>
  <si>
    <t>옵션 BD</t>
    <phoneticPr fontId="1" type="noConversion"/>
  </si>
  <si>
    <t>BMS OPT ASSY</t>
  </si>
  <si>
    <t>20410465G0200</t>
  </si>
  <si>
    <t>20400955G0200</t>
    <phoneticPr fontId="1" type="noConversion"/>
  </si>
  <si>
    <t>FOR EMERGENCY (EN81-A3)</t>
    <phoneticPr fontId="1" type="noConversion"/>
  </si>
  <si>
    <t>GROUP CONTROLLER</t>
  </si>
  <si>
    <t>20410635G3100</t>
  </si>
  <si>
    <t>20401194G2000</t>
  </si>
  <si>
    <t>20401194G3000</t>
    <phoneticPr fontId="1" type="noConversion"/>
  </si>
  <si>
    <t>HALL PWR OPT ASSY</t>
    <phoneticPr fontId="1" type="noConversion"/>
  </si>
  <si>
    <t>20401397G2000</t>
    <phoneticPr fontId="1" type="noConversion"/>
  </si>
  <si>
    <t>20401397G3000</t>
  </si>
  <si>
    <t>20401397G4000</t>
  </si>
  <si>
    <t>SURGE PROTECTOR</t>
  </si>
  <si>
    <t>20500004G0200</t>
  </si>
  <si>
    <t>PILOT LAMP ASSY</t>
  </si>
  <si>
    <t>20400640G0100</t>
  </si>
  <si>
    <t>EMP OPT ASSY</t>
  </si>
  <si>
    <t>20410464G0200</t>
  </si>
  <si>
    <t>E-CALL OPT ASSY</t>
    <phoneticPr fontId="1" type="noConversion"/>
  </si>
  <si>
    <t>범죄예방</t>
    <phoneticPr fontId="1" type="noConversion"/>
  </si>
  <si>
    <t>AMMETER OPT ASSY</t>
  </si>
  <si>
    <t>20401112G0300</t>
  </si>
  <si>
    <t>MODULE ACCESSORY</t>
  </si>
  <si>
    <t>20401308G0200</t>
  </si>
  <si>
    <t>RELAY ASSY</t>
  </si>
  <si>
    <t>20401462G0100</t>
  </si>
  <si>
    <t>20410237G0100</t>
  </si>
  <si>
    <t>29000047G0300</t>
  </si>
  <si>
    <t>BUZZER</t>
  </si>
  <si>
    <t>20400702G0100</t>
  </si>
  <si>
    <t>SPD BOX ASSY</t>
  </si>
  <si>
    <t>V0026179G0200</t>
  </si>
  <si>
    <t>CAR SILL LAMP OPT ASSY</t>
  </si>
  <si>
    <t>28000390G0100</t>
    <phoneticPr fontId="1" type="noConversion"/>
  </si>
  <si>
    <t>안전탑승기능</t>
    <phoneticPr fontId="1" type="noConversion"/>
  </si>
  <si>
    <t>HX0001TBH3200</t>
  </si>
  <si>
    <t>CP PHONE</t>
    <phoneticPr fontId="1" type="noConversion"/>
  </si>
  <si>
    <t>CP PHONE DI-PBX EN81-A3</t>
    <phoneticPr fontId="1" type="noConversion"/>
  </si>
  <si>
    <t>비상통화장치</t>
    <phoneticPr fontId="1" type="noConversion"/>
  </si>
  <si>
    <t>CP PHONE DI-PBX, PCB COATING EN81-A3</t>
    <phoneticPr fontId="1" type="noConversion"/>
  </si>
  <si>
    <t>PC BOARD LP-OPB PHONE2 A'SSY</t>
    <phoneticPr fontId="1" type="noConversion"/>
  </si>
  <si>
    <t>PC BOARD LP-OPB PHONE2 A'SSY 120x110x1.6</t>
    <phoneticPr fontId="1" type="noConversion"/>
  </si>
  <si>
    <t>PIT PHONE BOX</t>
    <phoneticPr fontId="1" type="noConversion"/>
  </si>
  <si>
    <t>PIT PHONE BOX PIT PHONE BOX 134x259x90.1</t>
    <phoneticPr fontId="1" type="noConversion"/>
  </si>
  <si>
    <t>HYBRID-PBX4 DI-PBX</t>
    <phoneticPr fontId="1" type="noConversion"/>
  </si>
  <si>
    <t xml:space="preserve"> WIRELESS 4CH</t>
    <phoneticPr fontId="1" type="noConversion"/>
  </si>
  <si>
    <t>HATCH SILL LAMP</t>
    <phoneticPr fontId="1" type="noConversion"/>
  </si>
  <si>
    <t>해치실 램프(영진E/L 사양)</t>
    <phoneticPr fontId="1" type="noConversion"/>
  </si>
  <si>
    <t>HARNESS ASSY FOR H/LANTERN</t>
    <phoneticPr fontId="1" type="noConversion"/>
  </si>
  <si>
    <t>ROPE BRAKE OPT ASSY</t>
  </si>
  <si>
    <t>20400641G0600</t>
  </si>
  <si>
    <t>EL TECH</t>
  </si>
  <si>
    <t>20400641G0500</t>
    <phoneticPr fontId="1" type="noConversion"/>
  </si>
  <si>
    <t>SAFE TECH</t>
  </si>
  <si>
    <t>20400641G0800</t>
    <phoneticPr fontId="1" type="noConversion"/>
  </si>
  <si>
    <t>MAJOR TECH</t>
  </si>
  <si>
    <t>20400641G0400</t>
  </si>
  <si>
    <t>FLS</t>
  </si>
  <si>
    <t>FINAL LIMIT SW ASSY</t>
  </si>
  <si>
    <t>24110040G0100</t>
    <phoneticPr fontId="1" type="noConversion"/>
  </si>
  <si>
    <t>60m/min 금액 적용</t>
  </si>
  <si>
    <t>24110040G0200</t>
  </si>
  <si>
    <t>24110040G0300</t>
  </si>
  <si>
    <t>24110040G0400</t>
  </si>
  <si>
    <t>24110040G0500</t>
  </si>
  <si>
    <t>24110040G0600</t>
  </si>
  <si>
    <t>24110040G0700</t>
  </si>
  <si>
    <t>24110040G0800</t>
  </si>
  <si>
    <t>24110040G1100</t>
  </si>
  <si>
    <t>WBSS-SE</t>
  </si>
  <si>
    <t>24110040G1200</t>
  </si>
  <si>
    <t>24110040G1300</t>
  </si>
  <si>
    <t>24110040G1400</t>
  </si>
  <si>
    <t>24110040G1500</t>
  </si>
  <si>
    <t>24110040G1600</t>
  </si>
  <si>
    <t>24110040G1700</t>
  </si>
  <si>
    <t>24110040G1800</t>
  </si>
  <si>
    <t>24100031G6200</t>
  </si>
  <si>
    <t>24110018G1500</t>
    <phoneticPr fontId="1" type="noConversion"/>
  </si>
  <si>
    <t>24110018G1600</t>
  </si>
  <si>
    <t>24110018G5700</t>
  </si>
  <si>
    <t>24110019G5100</t>
  </si>
  <si>
    <t>LCD</t>
  </si>
  <si>
    <t>24210015G0300</t>
  </si>
  <si>
    <t>24200128G0200</t>
    <phoneticPr fontId="1" type="noConversion"/>
  </si>
  <si>
    <t>242C0180G0300</t>
  </si>
  <si>
    <t>승강로 부품</t>
    <phoneticPr fontId="1" type="noConversion"/>
  </si>
  <si>
    <t>242C0130G0100</t>
    <phoneticPr fontId="1" type="noConversion"/>
  </si>
  <si>
    <t>20400702G0100</t>
    <phoneticPr fontId="1" type="noConversion"/>
  </si>
  <si>
    <t>20410326G0200</t>
  </si>
  <si>
    <t>26000074G0100</t>
  </si>
  <si>
    <t>26000074G0500</t>
  </si>
  <si>
    <t>26000109G0200</t>
  </si>
  <si>
    <t>LOAD SENSOR</t>
  </si>
  <si>
    <t>28500005G0100</t>
  </si>
  <si>
    <t>OVERLOAD SWITCH BRACKET</t>
    <phoneticPr fontId="1" type="noConversion"/>
  </si>
  <si>
    <t>LOAD-CP BOARD ASSY</t>
  </si>
  <si>
    <t>26400022G0200</t>
  </si>
  <si>
    <t xml:space="preserve">	GSPGSB240DK, GSB320DK</t>
  </si>
  <si>
    <t>285B0001G0500</t>
  </si>
  <si>
    <t>OVERLOAD SWITCH SWICH 4EA, CABLE 7MR GSB</t>
  </si>
  <si>
    <t>JOB SITE TOOL WBST</t>
    <phoneticPr fontId="1" type="noConversion"/>
  </si>
  <si>
    <t>JOB SITE TOOL WBST, WBLX(FLEXIBLE) FOR H</t>
    <phoneticPr fontId="1" type="noConversion"/>
  </si>
  <si>
    <t>COVER PLATE GI/EG</t>
    <phoneticPr fontId="1" type="noConversion"/>
  </si>
  <si>
    <t>COVER PLATE GI/EGI t0.8X300X400</t>
    <phoneticPr fontId="1" type="noConversion"/>
  </si>
  <si>
    <t>DUCT EGI/GI PLANE</t>
    <phoneticPr fontId="1" type="noConversion"/>
  </si>
  <si>
    <t>DUCT EGI/GI PLANE, 0.8T, W/O DUCT HOLE W</t>
    <phoneticPr fontId="1" type="noConversion"/>
  </si>
  <si>
    <t>ELBOW EGI/GI PLAN</t>
    <phoneticPr fontId="1" type="noConversion"/>
  </si>
  <si>
    <t>ELBOW EGI/GI PLANE, 1.6T W=100</t>
    <phoneticPr fontId="1" type="noConversion"/>
  </si>
  <si>
    <t>FLEXIBLE TUBE GW</t>
    <phoneticPr fontId="1" type="noConversion"/>
  </si>
  <si>
    <t>FLEXIBLE TUBE GW 16 LENGTH = 5 MR</t>
    <phoneticPr fontId="1" type="noConversion"/>
  </si>
  <si>
    <t xml:space="preserve">FLEXIBLE TUBE GW </t>
    <phoneticPr fontId="1" type="noConversion"/>
  </si>
  <si>
    <t>FLEXIBLE TUBE GW 28 LENGTH = 5 MR</t>
    <phoneticPr fontId="1" type="noConversion"/>
  </si>
  <si>
    <t>JOB SITE TOOL WBSS1(FLEXIBLE) FOR HOIST</t>
    <phoneticPr fontId="1" type="noConversion"/>
  </si>
  <si>
    <t>FLEXIBLE TUBE GW 36 LENGTH = 7 MR</t>
    <phoneticPr fontId="1" type="noConversion"/>
  </si>
  <si>
    <t>23000105G0700</t>
  </si>
  <si>
    <t>도어모터</t>
    <phoneticPr fontId="1" type="noConversion"/>
  </si>
  <si>
    <t>도어엔코더</t>
    <phoneticPr fontId="1" type="noConversion"/>
  </si>
  <si>
    <t>EMON-ONE OPT ASSY</t>
    <phoneticPr fontId="1" type="noConversion"/>
  </si>
  <si>
    <t>20401342G0300</t>
    <phoneticPr fontId="1" type="noConversion"/>
  </si>
  <si>
    <t>EMON-ONE</t>
    <phoneticPr fontId="1" type="noConversion"/>
  </si>
  <si>
    <t>PC BOARD EMON-ONE (WBVF) RS485</t>
    <phoneticPr fontId="1" type="noConversion"/>
  </si>
  <si>
    <t>29000039G0200</t>
    <phoneticPr fontId="1" type="noConversion"/>
  </si>
  <si>
    <t>RS232 CONVERTER</t>
    <phoneticPr fontId="1" type="noConversion"/>
  </si>
  <si>
    <t>RS485 CONVERTER</t>
    <phoneticPr fontId="1" type="noConversion"/>
  </si>
  <si>
    <t>DATAMULTI PLUS (MASTER)</t>
    <phoneticPr fontId="1" type="noConversion"/>
  </si>
  <si>
    <t>CP MANUMAL</t>
    <phoneticPr fontId="1" type="noConversion"/>
  </si>
  <si>
    <t>PACKING COST</t>
  </si>
  <si>
    <t>R920000002800</t>
    <phoneticPr fontId="1" type="noConversion"/>
  </si>
  <si>
    <t>BOX</t>
    <phoneticPr fontId="1" type="noConversion"/>
  </si>
  <si>
    <t>PD COST (물류비)</t>
  </si>
  <si>
    <t>R920000002100</t>
  </si>
  <si>
    <t>서울</t>
  </si>
  <si>
    <t>R920000002200</t>
  </si>
  <si>
    <t>충청</t>
  </si>
  <si>
    <t>R920000002300</t>
  </si>
  <si>
    <t>경기</t>
  </si>
  <si>
    <t>R920000002400</t>
  </si>
  <si>
    <t>경상</t>
  </si>
  <si>
    <t>R920000002500</t>
  </si>
  <si>
    <t>호남</t>
  </si>
  <si>
    <t>PD COST (물류비)</t>
    <phoneticPr fontId="1" type="noConversion"/>
  </si>
  <si>
    <t>R920000002600</t>
  </si>
  <si>
    <t>강원</t>
  </si>
  <si>
    <t>제주</t>
    <phoneticPr fontId="1" type="noConversion"/>
  </si>
  <si>
    <t>착불(업체 배차 시)</t>
    <phoneticPr fontId="1" type="noConversion"/>
  </si>
  <si>
    <t>업체 배차 시</t>
    <phoneticPr fontId="1" type="noConversion"/>
  </si>
  <si>
    <t>층수</t>
    <phoneticPr fontId="1" type="noConversion"/>
  </si>
  <si>
    <t>속도</t>
    <phoneticPr fontId="1" type="noConversion"/>
  </si>
  <si>
    <t>용량</t>
    <phoneticPr fontId="1" type="noConversion"/>
  </si>
  <si>
    <t>인승</t>
    <phoneticPr fontId="1" type="noConversion"/>
  </si>
  <si>
    <t>재질</t>
    <phoneticPr fontId="9" type="noConversion"/>
  </si>
  <si>
    <t>MRL</t>
  </si>
  <si>
    <t>출입구 높이</t>
    <phoneticPr fontId="1" type="noConversion"/>
  </si>
  <si>
    <t>운송지역</t>
    <phoneticPr fontId="1" type="noConversion"/>
  </si>
  <si>
    <t>비상통화장치 당사 적용</t>
    <phoneticPr fontId="1" type="noConversion"/>
  </si>
  <si>
    <t>JOB SITE TOOL</t>
    <phoneticPr fontId="1" type="noConversion"/>
  </si>
  <si>
    <t>MRL</t>
    <phoneticPr fontId="9" type="noConversion"/>
  </si>
  <si>
    <t>GI+PAINT</t>
    <phoneticPr fontId="1" type="noConversion"/>
  </si>
  <si>
    <t>ALL SUS-HL</t>
    <phoneticPr fontId="1" type="noConversion"/>
  </si>
  <si>
    <t>일반형</t>
    <phoneticPr fontId="1" type="noConversion"/>
  </si>
  <si>
    <t>YES</t>
    <phoneticPr fontId="1" type="noConversion"/>
  </si>
  <si>
    <t>NO</t>
    <phoneticPr fontId="1" type="noConversion"/>
  </si>
  <si>
    <t>LEFT HINGE</t>
    <phoneticPr fontId="1" type="noConversion"/>
  </si>
  <si>
    <t>Y</t>
    <phoneticPr fontId="9" type="noConversion"/>
  </si>
  <si>
    <t>표준형</t>
    <phoneticPr fontId="9" type="noConversion"/>
  </si>
  <si>
    <t>RG59</t>
    <phoneticPr fontId="9" type="noConversion"/>
  </si>
  <si>
    <t>GI</t>
  </si>
  <si>
    <t>DOOR만 SUS-HL</t>
    <phoneticPr fontId="1" type="noConversion"/>
  </si>
  <si>
    <t>회생형</t>
    <phoneticPr fontId="1" type="noConversion"/>
  </si>
  <si>
    <t>2 CAR</t>
    <phoneticPr fontId="1" type="noConversion"/>
  </si>
  <si>
    <t>RIGHT HINGE</t>
    <phoneticPr fontId="1" type="noConversion"/>
  </si>
  <si>
    <t>N</t>
    <phoneticPr fontId="9" type="noConversion"/>
  </si>
  <si>
    <t>UTP 내장형</t>
    <phoneticPr fontId="9" type="noConversion"/>
  </si>
  <si>
    <t>UTP</t>
    <phoneticPr fontId="9" type="noConversion"/>
  </si>
  <si>
    <t>속도</t>
    <phoneticPr fontId="9" type="noConversion"/>
  </si>
  <si>
    <t>OVERHEAD</t>
    <phoneticPr fontId="9" type="noConversion"/>
  </si>
  <si>
    <t>PIT</t>
    <phoneticPr fontId="9" type="noConversion"/>
  </si>
  <si>
    <t>GD</t>
    <phoneticPr fontId="9" type="noConversion"/>
  </si>
  <si>
    <t>3 CAR 별도 문의</t>
    <phoneticPr fontId="1" type="noConversion"/>
  </si>
  <si>
    <t>A/C 동력선 내장형</t>
    <phoneticPr fontId="9" type="noConversion"/>
  </si>
  <si>
    <t>RG59+CLIP</t>
    <phoneticPr fontId="9" type="noConversion"/>
  </si>
  <si>
    <t>UTP+CLIP</t>
    <phoneticPr fontId="9" type="noConversion"/>
  </si>
  <si>
    <t>ROPE BRAKE</t>
    <phoneticPr fontId="9" type="noConversion"/>
  </si>
  <si>
    <t>ENCODER 타입</t>
    <phoneticPr fontId="1" type="noConversion"/>
  </si>
  <si>
    <t>K1 :</t>
    <phoneticPr fontId="9" type="noConversion"/>
  </si>
  <si>
    <t>EL TECH</t>
    <phoneticPr fontId="9" type="noConversion"/>
  </si>
  <si>
    <t>SINCOS</t>
  </si>
  <si>
    <t>제주</t>
    <phoneticPr fontId="9" type="noConversion"/>
  </si>
  <si>
    <t>Ic :</t>
    <phoneticPr fontId="9" type="noConversion"/>
  </si>
  <si>
    <t>SAFE TECH</t>
    <phoneticPr fontId="9" type="noConversion"/>
  </si>
  <si>
    <t>착불(업체 배차 시)</t>
    <phoneticPr fontId="9" type="noConversion"/>
  </si>
  <si>
    <t>MAJOR TECH</t>
    <phoneticPr fontId="9" type="noConversion"/>
  </si>
  <si>
    <t>HIP 선택</t>
    <phoneticPr fontId="9" type="noConversion"/>
  </si>
  <si>
    <t>HPI 선택</t>
    <phoneticPr fontId="9" type="noConversion"/>
  </si>
  <si>
    <t>차단기 용량 산정</t>
    <phoneticPr fontId="1" type="noConversion"/>
  </si>
  <si>
    <t>소요전류</t>
    <phoneticPr fontId="9" type="noConversion"/>
  </si>
  <si>
    <r>
      <t>I</t>
    </r>
    <r>
      <rPr>
        <sz val="8"/>
        <color theme="1"/>
        <rFont val="맑은 고딕"/>
        <family val="3"/>
        <charset val="129"/>
        <scheme val="minor"/>
      </rPr>
      <t>nfb :</t>
    </r>
    <phoneticPr fontId="9" type="noConversion"/>
  </si>
  <si>
    <t>차단기 용량</t>
    <phoneticPr fontId="9" type="noConversion"/>
  </si>
  <si>
    <t>ROPE GRIPPER</t>
    <phoneticPr fontId="9" type="noConversion"/>
  </si>
  <si>
    <t>HIP 원형 DOT</t>
    <phoneticPr fontId="9" type="noConversion"/>
  </si>
  <si>
    <t>HPI 원형 DOT</t>
    <phoneticPr fontId="9" type="noConversion"/>
  </si>
  <si>
    <t>HIP 사각형 DOT</t>
    <phoneticPr fontId="9" type="noConversion"/>
  </si>
  <si>
    <t>HPI 사각형 DOT</t>
    <phoneticPr fontId="9" type="noConversion"/>
  </si>
  <si>
    <t>HIP LCD</t>
    <phoneticPr fontId="9" type="noConversion"/>
  </si>
  <si>
    <t>HPI LCD</t>
    <phoneticPr fontId="9" type="noConversion"/>
  </si>
  <si>
    <t>MR</t>
    <phoneticPr fontId="9" type="noConversion"/>
  </si>
  <si>
    <t>도어 전원</t>
    <phoneticPr fontId="1" type="noConversion"/>
  </si>
  <si>
    <t>AC 220V</t>
    <phoneticPr fontId="1" type="noConversion"/>
  </si>
  <si>
    <t>AC 110V</t>
    <phoneticPr fontId="1" type="noConversion"/>
  </si>
  <si>
    <t>COP 선택</t>
    <phoneticPr fontId="9" type="noConversion"/>
  </si>
  <si>
    <t>CPI 선택</t>
    <phoneticPr fontId="9" type="noConversion"/>
  </si>
  <si>
    <t>COP 원형 DOT</t>
    <phoneticPr fontId="9" type="noConversion"/>
  </si>
  <si>
    <t>CPI 원형 DOT</t>
    <phoneticPr fontId="9" type="noConversion"/>
  </si>
  <si>
    <t>COP 사각형 DOT</t>
    <phoneticPr fontId="9" type="noConversion"/>
  </si>
  <si>
    <t>CPI 사각형 DOT</t>
    <phoneticPr fontId="9" type="noConversion"/>
  </si>
  <si>
    <t>COP LCD</t>
    <phoneticPr fontId="9" type="noConversion"/>
  </si>
  <si>
    <t>CPI LCD</t>
    <phoneticPr fontId="9" type="noConversion"/>
  </si>
  <si>
    <t>COP 인디게이터 미적용</t>
    <phoneticPr fontId="9" type="noConversion"/>
  </si>
  <si>
    <t>모터 전류</t>
    <phoneticPr fontId="9" type="noConversion"/>
  </si>
  <si>
    <t>승장 부품 전류치</t>
    <phoneticPr fontId="9" type="noConversion"/>
  </si>
  <si>
    <t>mA</t>
    <phoneticPr fontId="9" type="noConversion"/>
  </si>
  <si>
    <t>H.LANTERN</t>
    <phoneticPr fontId="9" type="noConversion"/>
  </si>
  <si>
    <t>합계</t>
    <phoneticPr fontId="9" type="noConversion"/>
  </si>
  <si>
    <t>2023-03-16(20302170G02 -&gt; G03, 20302163G02 -&gt;3 변경)</t>
    <phoneticPr fontId="1" type="noConversion"/>
  </si>
  <si>
    <t>2023-03-21(MRL CABINET CP에서 분리, 인디케이터, EXT CABLE 추가)</t>
    <phoneticPr fontId="1" type="noConversion"/>
  </si>
  <si>
    <t>2023-04-12(MR Type 일반형 ELD 추가)</t>
    <phoneticPr fontId="1" type="noConversion"/>
  </si>
  <si>
    <t>2023-04-13(제어반 GI, 도장, DOOR SUS, ALL SUS 구분)</t>
    <phoneticPr fontId="1" type="noConversion"/>
  </si>
  <si>
    <t>CP ASSY(MR 도장타입, MRL ALL SUS 타입)</t>
    <phoneticPr fontId="1" type="noConversion"/>
  </si>
  <si>
    <t xml:space="preserve">  순번</t>
    <phoneticPr fontId="1" type="noConversion"/>
  </si>
  <si>
    <t>항목</t>
    <phoneticPr fontId="1" type="noConversion"/>
  </si>
  <si>
    <t>도명</t>
    <phoneticPr fontId="1" type="noConversion"/>
  </si>
  <si>
    <t>CP ASSY 자재번호</t>
    <phoneticPr fontId="1" type="noConversion"/>
  </si>
  <si>
    <t>구분1</t>
    <phoneticPr fontId="1" type="noConversion"/>
  </si>
  <si>
    <t>구분3</t>
    <phoneticPr fontId="1" type="noConversion"/>
  </si>
  <si>
    <t>구분4</t>
  </si>
  <si>
    <t>구분5</t>
    <phoneticPr fontId="1" type="noConversion"/>
  </si>
  <si>
    <t>구분6</t>
    <phoneticPr fontId="1" type="noConversion"/>
  </si>
  <si>
    <t>비고</t>
    <phoneticPr fontId="1" type="noConversion"/>
  </si>
  <si>
    <t>CABINET 자재번호</t>
    <phoneticPr fontId="1" type="noConversion"/>
  </si>
  <si>
    <t>인버터 타입</t>
    <phoneticPr fontId="1" type="noConversion"/>
  </si>
  <si>
    <t>엔코더종류</t>
    <phoneticPr fontId="1" type="noConversion"/>
  </si>
  <si>
    <t>CABINET</t>
    <phoneticPr fontId="1" type="noConversion"/>
  </si>
  <si>
    <t>HH</t>
    <phoneticPr fontId="1" type="noConversion"/>
  </si>
  <si>
    <t>문열림방향</t>
    <phoneticPr fontId="1" type="noConversion"/>
  </si>
  <si>
    <t>자재번호(CP 내작)</t>
    <phoneticPr fontId="1" type="noConversion"/>
  </si>
  <si>
    <t>DRIVE UNIT ASSY</t>
    <phoneticPr fontId="1" type="noConversion"/>
  </si>
  <si>
    <t>stack assy</t>
    <phoneticPr fontId="1" type="noConversion"/>
  </si>
  <si>
    <t>CP ASSY(외주)</t>
    <phoneticPr fontId="1" type="noConversion"/>
  </si>
  <si>
    <t>WBLX-SE 일반형 (ELD일체형)</t>
    <phoneticPr fontId="1" type="noConversion"/>
  </si>
  <si>
    <t>20410985G0100</t>
    <phoneticPr fontId="1" type="noConversion"/>
  </si>
  <si>
    <t>일반</t>
    <phoneticPr fontId="1" type="noConversion"/>
  </si>
  <si>
    <t>SINCOS</t>
    <phoneticPr fontId="1" type="noConversion"/>
  </si>
  <si>
    <t>20302159G02</t>
  </si>
  <si>
    <t>20302166G02</t>
    <phoneticPr fontId="1" type="noConversion"/>
  </si>
  <si>
    <t>HX045016H0300</t>
    <phoneticPr fontId="1" type="noConversion"/>
  </si>
  <si>
    <t>20410986G01</t>
  </si>
  <si>
    <t>20410985G0200</t>
    <phoneticPr fontId="1" type="noConversion"/>
  </si>
  <si>
    <t>20302160G01</t>
  </si>
  <si>
    <t>20302167G01</t>
    <phoneticPr fontId="1" type="noConversion"/>
  </si>
  <si>
    <t>HX045016H0200</t>
    <phoneticPr fontId="1" type="noConversion"/>
  </si>
  <si>
    <t>20410986G02</t>
  </si>
  <si>
    <t>20410985G0300</t>
    <phoneticPr fontId="1" type="noConversion"/>
  </si>
  <si>
    <t>20302160G02</t>
  </si>
  <si>
    <t>20302167G02</t>
    <phoneticPr fontId="1" type="noConversion"/>
  </si>
  <si>
    <t>HX045016H0100</t>
    <phoneticPr fontId="1" type="noConversion"/>
  </si>
  <si>
    <t>20410986G03</t>
  </si>
  <si>
    <t>20410985G0400</t>
    <phoneticPr fontId="1" type="noConversion"/>
  </si>
  <si>
    <t>20302161G01</t>
  </si>
  <si>
    <t>20302168G01</t>
    <phoneticPr fontId="1" type="noConversion"/>
  </si>
  <si>
    <t>HX045019H0100</t>
    <phoneticPr fontId="1" type="noConversion"/>
  </si>
  <si>
    <t>20410986G04</t>
  </si>
  <si>
    <t>20410985G0600</t>
    <phoneticPr fontId="1" type="noConversion"/>
  </si>
  <si>
    <t>INCREMENTAL</t>
    <phoneticPr fontId="1" type="noConversion"/>
  </si>
  <si>
    <t>20302159G04</t>
  </si>
  <si>
    <t>20302166G04</t>
    <phoneticPr fontId="1" type="noConversion"/>
  </si>
  <si>
    <t>20410985G0700</t>
    <phoneticPr fontId="1" type="noConversion"/>
  </si>
  <si>
    <t>20302160G03</t>
  </si>
  <si>
    <t>20302167G03</t>
    <phoneticPr fontId="1" type="noConversion"/>
  </si>
  <si>
    <t>20410986G02</t>
    <phoneticPr fontId="1" type="noConversion"/>
  </si>
  <si>
    <t>20410985G0800</t>
    <phoneticPr fontId="1" type="noConversion"/>
  </si>
  <si>
    <t>20302160G04</t>
  </si>
  <si>
    <t>20302167G04</t>
    <phoneticPr fontId="1" type="noConversion"/>
  </si>
  <si>
    <t>20410985G0900</t>
    <phoneticPr fontId="1" type="noConversion"/>
  </si>
  <si>
    <t>20302161G02</t>
  </si>
  <si>
    <t>20302168G02</t>
    <phoneticPr fontId="1" type="noConversion"/>
  </si>
  <si>
    <t>WBLX-SE PWM (ELD일체형)</t>
    <phoneticPr fontId="1" type="noConversion"/>
  </si>
  <si>
    <t>20410989G0100</t>
    <phoneticPr fontId="1" type="noConversion"/>
  </si>
  <si>
    <t>PWM</t>
    <phoneticPr fontId="1" type="noConversion"/>
  </si>
  <si>
    <t>회생형</t>
  </si>
  <si>
    <t>20302162G01</t>
  </si>
  <si>
    <t>20302169G01</t>
    <phoneticPr fontId="1" type="noConversion"/>
  </si>
  <si>
    <t>HX045007H0100</t>
    <phoneticPr fontId="1" type="noConversion"/>
  </si>
  <si>
    <t>20410990G01</t>
    <phoneticPr fontId="1" type="noConversion"/>
  </si>
  <si>
    <t>20410989G0200</t>
    <phoneticPr fontId="1" type="noConversion"/>
  </si>
  <si>
    <t>20302162G02</t>
  </si>
  <si>
    <t>20302169G02</t>
    <phoneticPr fontId="1" type="noConversion"/>
  </si>
  <si>
    <t>HX045007H0300</t>
    <phoneticPr fontId="1" type="noConversion"/>
  </si>
  <si>
    <t>20410990G02</t>
  </si>
  <si>
    <t>20410989G0300</t>
    <phoneticPr fontId="1" type="noConversion"/>
  </si>
  <si>
    <t>20302162G03</t>
  </si>
  <si>
    <t>20302169G03</t>
    <phoneticPr fontId="1" type="noConversion"/>
  </si>
  <si>
    <t>HX045007H0500</t>
    <phoneticPr fontId="1" type="noConversion"/>
  </si>
  <si>
    <t>20410990G03</t>
  </si>
  <si>
    <t>20410989G0400</t>
    <phoneticPr fontId="1" type="noConversion"/>
  </si>
  <si>
    <t>20302163G01</t>
  </si>
  <si>
    <t>20302170G01</t>
    <phoneticPr fontId="1" type="noConversion"/>
  </si>
  <si>
    <t>HX045008H0100</t>
    <phoneticPr fontId="1" type="noConversion"/>
  </si>
  <si>
    <t>20410990G04</t>
  </si>
  <si>
    <t>20410989G0600</t>
    <phoneticPr fontId="1" type="noConversion"/>
  </si>
  <si>
    <t>20302162G04</t>
    <phoneticPr fontId="1" type="noConversion"/>
  </si>
  <si>
    <t>20302169G04</t>
    <phoneticPr fontId="1" type="noConversion"/>
  </si>
  <si>
    <t>20410989G0700</t>
    <phoneticPr fontId="1" type="noConversion"/>
  </si>
  <si>
    <t>20302162G05</t>
    <phoneticPr fontId="1" type="noConversion"/>
  </si>
  <si>
    <t>20302169G05</t>
    <phoneticPr fontId="1" type="noConversion"/>
  </si>
  <si>
    <t>20410989G0800</t>
    <phoneticPr fontId="1" type="noConversion"/>
  </si>
  <si>
    <t>20302162G06</t>
    <phoneticPr fontId="1" type="noConversion"/>
  </si>
  <si>
    <t>20302169G06</t>
    <phoneticPr fontId="1" type="noConversion"/>
  </si>
  <si>
    <t>20410989G0900</t>
    <phoneticPr fontId="1" type="noConversion"/>
  </si>
  <si>
    <t>20302163G03</t>
    <phoneticPr fontId="1" type="noConversion"/>
  </si>
  <si>
    <t>20302170G03</t>
    <phoneticPr fontId="1" type="noConversion"/>
  </si>
  <si>
    <t>WBSS-SE 일반형</t>
  </si>
  <si>
    <t>20411047G01</t>
  </si>
  <si>
    <t>ALL SUS</t>
    <phoneticPr fontId="1" type="noConversion"/>
  </si>
  <si>
    <t>ALL SUS-HL</t>
  </si>
  <si>
    <t>20410988G01</t>
  </si>
  <si>
    <t>20410987G0200</t>
    <phoneticPr fontId="1" type="noConversion"/>
  </si>
  <si>
    <t>20410988G02</t>
  </si>
  <si>
    <t>20410987G0300</t>
    <phoneticPr fontId="1" type="noConversion"/>
  </si>
  <si>
    <t>20410988G03</t>
  </si>
  <si>
    <t>20411048G01</t>
  </si>
  <si>
    <t>20410988G04</t>
  </si>
  <si>
    <t>20411047G02</t>
  </si>
  <si>
    <t>20410988G06</t>
  </si>
  <si>
    <t>20410988G07</t>
  </si>
  <si>
    <t>20410988G08</t>
  </si>
  <si>
    <t>20411048G02</t>
  </si>
  <si>
    <t>20410988G09</t>
  </si>
  <si>
    <t>20410987G1100</t>
    <phoneticPr fontId="1" type="noConversion"/>
  </si>
  <si>
    <t>20411047G03</t>
  </si>
  <si>
    <t>20410988G11</t>
  </si>
  <si>
    <t>20410987G1200</t>
    <phoneticPr fontId="1" type="noConversion"/>
  </si>
  <si>
    <t>20410988G12</t>
  </si>
  <si>
    <t>20410987G1300</t>
    <phoneticPr fontId="1" type="noConversion"/>
  </si>
  <si>
    <t>20410988G13</t>
  </si>
  <si>
    <t>20410987G1400</t>
    <phoneticPr fontId="1" type="noConversion"/>
  </si>
  <si>
    <t>20411048G03</t>
  </si>
  <si>
    <t>20410988G14</t>
  </si>
  <si>
    <t>20411047G04</t>
  </si>
  <si>
    <t>20410988G16</t>
  </si>
  <si>
    <t>20410987G1700</t>
    <phoneticPr fontId="1" type="noConversion"/>
  </si>
  <si>
    <t>20410988G17</t>
  </si>
  <si>
    <t>20410987G1800</t>
    <phoneticPr fontId="1" type="noConversion"/>
  </si>
  <si>
    <t>20410988G18</t>
  </si>
  <si>
    <t>20410987G1900</t>
    <phoneticPr fontId="1" type="noConversion"/>
  </si>
  <si>
    <t>20411048G04</t>
  </si>
  <si>
    <t>20410988G19</t>
  </si>
  <si>
    <t>20410987G2100</t>
    <phoneticPr fontId="1" type="noConversion"/>
  </si>
  <si>
    <t>20411047G05</t>
  </si>
  <si>
    <t>20410988G21</t>
  </si>
  <si>
    <t>20410987G2200</t>
    <phoneticPr fontId="1" type="noConversion"/>
  </si>
  <si>
    <t>20410988G22</t>
  </si>
  <si>
    <t>20410987G2300</t>
    <phoneticPr fontId="1" type="noConversion"/>
  </si>
  <si>
    <t>20410988G23</t>
  </si>
  <si>
    <t>20410987G2400</t>
    <phoneticPr fontId="1" type="noConversion"/>
  </si>
  <si>
    <t>20411048G05</t>
  </si>
  <si>
    <t>20410988G24</t>
  </si>
  <si>
    <t>20410987G2600</t>
    <phoneticPr fontId="1" type="noConversion"/>
  </si>
  <si>
    <t>20411047G06</t>
  </si>
  <si>
    <t>20410988G26</t>
  </si>
  <si>
    <t>20410987G2700</t>
    <phoneticPr fontId="1" type="noConversion"/>
  </si>
  <si>
    <t>20410988G27</t>
  </si>
  <si>
    <t>20410987G2800</t>
    <phoneticPr fontId="1" type="noConversion"/>
  </si>
  <si>
    <t>20410988G28</t>
  </si>
  <si>
    <t>20410987G2900</t>
    <phoneticPr fontId="1" type="noConversion"/>
  </si>
  <si>
    <t>20411048G06</t>
  </si>
  <si>
    <t>20410988G29</t>
  </si>
  <si>
    <t>20410987G3100</t>
    <phoneticPr fontId="1" type="noConversion"/>
  </si>
  <si>
    <t>20411047G07</t>
  </si>
  <si>
    <t>HOIST TYPE</t>
    <phoneticPr fontId="1" type="noConversion"/>
  </si>
  <si>
    <t>20410988G31</t>
    <phoneticPr fontId="1" type="noConversion"/>
  </si>
  <si>
    <t>20410987G3200</t>
    <phoneticPr fontId="1" type="noConversion"/>
  </si>
  <si>
    <t>20410988G32</t>
  </si>
  <si>
    <t>20410987G3300</t>
    <phoneticPr fontId="1" type="noConversion"/>
  </si>
  <si>
    <t>20410988G33</t>
  </si>
  <si>
    <t>20410987G3400</t>
    <phoneticPr fontId="1" type="noConversion"/>
  </si>
  <si>
    <t>20411048G07</t>
  </si>
  <si>
    <t>20410988G34</t>
  </si>
  <si>
    <t>20410987G3600</t>
    <phoneticPr fontId="1" type="noConversion"/>
  </si>
  <si>
    <t>20410987G3700</t>
    <phoneticPr fontId="1" type="noConversion"/>
  </si>
  <si>
    <t>20410987G3800</t>
    <phoneticPr fontId="1" type="noConversion"/>
  </si>
  <si>
    <t>20410987G3900</t>
    <phoneticPr fontId="1" type="noConversion"/>
  </si>
  <si>
    <t>20410987G4100</t>
    <phoneticPr fontId="1" type="noConversion"/>
  </si>
  <si>
    <t>20410987G4200</t>
    <phoneticPr fontId="1" type="noConversion"/>
  </si>
  <si>
    <t>20410987G4300</t>
    <phoneticPr fontId="1" type="noConversion"/>
  </si>
  <si>
    <t>20410987G4400</t>
    <phoneticPr fontId="1" type="noConversion"/>
  </si>
  <si>
    <t>20410987G4600</t>
    <phoneticPr fontId="1" type="noConversion"/>
  </si>
  <si>
    <t>20410987G4700</t>
    <phoneticPr fontId="1" type="noConversion"/>
  </si>
  <si>
    <t>20410987G4800</t>
    <phoneticPr fontId="1" type="noConversion"/>
  </si>
  <si>
    <t>20410987G4900</t>
    <phoneticPr fontId="1" type="noConversion"/>
  </si>
  <si>
    <t>20410987G5100</t>
    <phoneticPr fontId="1" type="noConversion"/>
  </si>
  <si>
    <t>20410987G5200</t>
    <phoneticPr fontId="1" type="noConversion"/>
  </si>
  <si>
    <t>20410987G5300</t>
    <phoneticPr fontId="1" type="noConversion"/>
  </si>
  <si>
    <t>20410987G5400</t>
    <phoneticPr fontId="1" type="noConversion"/>
  </si>
  <si>
    <t>20410987G5600</t>
    <phoneticPr fontId="1" type="noConversion"/>
  </si>
  <si>
    <t>20410987G5700</t>
    <phoneticPr fontId="1" type="noConversion"/>
  </si>
  <si>
    <t>20410987G5800</t>
    <phoneticPr fontId="1" type="noConversion"/>
  </si>
  <si>
    <t>20410987G5900</t>
    <phoneticPr fontId="1" type="noConversion"/>
  </si>
  <si>
    <t>20410987G6100</t>
    <phoneticPr fontId="1" type="noConversion"/>
  </si>
  <si>
    <t>20410987G6200</t>
    <phoneticPr fontId="1" type="noConversion"/>
  </si>
  <si>
    <t>20410987G6300</t>
    <phoneticPr fontId="1" type="noConversion"/>
  </si>
  <si>
    <t>20410987G6400</t>
    <phoneticPr fontId="1" type="noConversion"/>
  </si>
  <si>
    <t>20410987G6600</t>
    <phoneticPr fontId="1" type="noConversion"/>
  </si>
  <si>
    <t>20410988G31</t>
  </si>
  <si>
    <t>20410987G6700</t>
    <phoneticPr fontId="1" type="noConversion"/>
  </si>
  <si>
    <t>20410987G6800</t>
    <phoneticPr fontId="1" type="noConversion"/>
  </si>
  <si>
    <t>20410987G6900</t>
    <phoneticPr fontId="1" type="noConversion"/>
  </si>
  <si>
    <t>WBSS-SE PWM</t>
  </si>
  <si>
    <t>20410991G0100</t>
    <phoneticPr fontId="1" type="noConversion"/>
  </si>
  <si>
    <t>20411050G01</t>
  </si>
  <si>
    <t>20410992G01</t>
  </si>
  <si>
    <t>20410991G0200</t>
    <phoneticPr fontId="1" type="noConversion"/>
  </si>
  <si>
    <t>20410992G02</t>
  </si>
  <si>
    <t>20410991G0300</t>
    <phoneticPr fontId="1" type="noConversion"/>
  </si>
  <si>
    <t>20410992G03</t>
  </si>
  <si>
    <t>20410991G0400</t>
    <phoneticPr fontId="1" type="noConversion"/>
  </si>
  <si>
    <t>20411051G01</t>
  </si>
  <si>
    <t>20410992G04</t>
  </si>
  <si>
    <t>20410991G0500</t>
    <phoneticPr fontId="1" type="noConversion"/>
  </si>
  <si>
    <t>20411050G02</t>
  </si>
  <si>
    <t>20302162G01</t>
    <phoneticPr fontId="1" type="noConversion"/>
  </si>
  <si>
    <t>20410992G05</t>
  </si>
  <si>
    <t>20410991G0600</t>
    <phoneticPr fontId="1" type="noConversion"/>
  </si>
  <si>
    <t>20302162G02</t>
    <phoneticPr fontId="1" type="noConversion"/>
  </si>
  <si>
    <t>20410992G06</t>
  </si>
  <si>
    <t>20410991G0700</t>
    <phoneticPr fontId="1" type="noConversion"/>
  </si>
  <si>
    <t>20302162G03</t>
    <phoneticPr fontId="1" type="noConversion"/>
  </si>
  <si>
    <t>20410992G07</t>
  </si>
  <si>
    <t>20410991G0800</t>
    <phoneticPr fontId="1" type="noConversion"/>
  </si>
  <si>
    <t>20411051G02</t>
  </si>
  <si>
    <t>20302163G01</t>
    <phoneticPr fontId="1" type="noConversion"/>
  </si>
  <si>
    <t>20410992G08</t>
  </si>
  <si>
    <t>20410991G0900</t>
    <phoneticPr fontId="1" type="noConversion"/>
  </si>
  <si>
    <t>20411050G03</t>
  </si>
  <si>
    <t>20410992G09</t>
  </si>
  <si>
    <t>20410991G1000</t>
    <phoneticPr fontId="1" type="noConversion"/>
  </si>
  <si>
    <t>20410992G10</t>
  </si>
  <si>
    <t>20410991G1100</t>
    <phoneticPr fontId="1" type="noConversion"/>
  </si>
  <si>
    <t>20410992G11</t>
  </si>
  <si>
    <t>20410991G1200</t>
    <phoneticPr fontId="1" type="noConversion"/>
  </si>
  <si>
    <t>20411051G03</t>
  </si>
  <si>
    <t>20410992G12</t>
  </si>
  <si>
    <t>20410991G1300</t>
    <phoneticPr fontId="1" type="noConversion"/>
  </si>
  <si>
    <t>20411050G04</t>
  </si>
  <si>
    <t>20410992G13</t>
  </si>
  <si>
    <t>20410991G1400</t>
    <phoneticPr fontId="1" type="noConversion"/>
  </si>
  <si>
    <t>20410992G14</t>
  </si>
  <si>
    <t>20410991G1500</t>
    <phoneticPr fontId="1" type="noConversion"/>
  </si>
  <si>
    <t>20410992G15</t>
  </si>
  <si>
    <t>20410991G1600</t>
    <phoneticPr fontId="1" type="noConversion"/>
  </si>
  <si>
    <t>20411051G04</t>
  </si>
  <si>
    <t>20410992G16</t>
  </si>
  <si>
    <t>20410991G1700</t>
    <phoneticPr fontId="1" type="noConversion"/>
  </si>
  <si>
    <t>20411050G05</t>
  </si>
  <si>
    <t>20410992G17</t>
  </si>
  <si>
    <t>20410991G1800</t>
    <phoneticPr fontId="1" type="noConversion"/>
  </si>
  <si>
    <t>20410992G18</t>
  </si>
  <si>
    <t>20410991G1900</t>
    <phoneticPr fontId="1" type="noConversion"/>
  </si>
  <si>
    <t>20410992G19</t>
  </si>
  <si>
    <t>20410991G2000</t>
    <phoneticPr fontId="1" type="noConversion"/>
  </si>
  <si>
    <t>20411051G05</t>
  </si>
  <si>
    <t>20410992G20</t>
  </si>
  <si>
    <t>20410991G2100</t>
    <phoneticPr fontId="1" type="noConversion"/>
  </si>
  <si>
    <t>20411050G06</t>
  </si>
  <si>
    <t>20410992G21</t>
  </si>
  <si>
    <t>20410991G2200</t>
    <phoneticPr fontId="1" type="noConversion"/>
  </si>
  <si>
    <t>20410992G22</t>
  </si>
  <si>
    <t>20410991G2300</t>
    <phoneticPr fontId="1" type="noConversion"/>
  </si>
  <si>
    <t>20410992G23</t>
  </si>
  <si>
    <t>20410991G2400</t>
    <phoneticPr fontId="1" type="noConversion"/>
  </si>
  <si>
    <t>20411051G06</t>
  </si>
  <si>
    <t>20410992G24</t>
  </si>
  <si>
    <t>20410991G2500</t>
    <phoneticPr fontId="1" type="noConversion"/>
  </si>
  <si>
    <t>20411050G07</t>
  </si>
  <si>
    <t>20410992G25</t>
  </si>
  <si>
    <t>20410991G2600</t>
    <phoneticPr fontId="1" type="noConversion"/>
  </si>
  <si>
    <t>20410992G26</t>
  </si>
  <si>
    <t>20410991G2700</t>
    <phoneticPr fontId="1" type="noConversion"/>
  </si>
  <si>
    <t>20410992G27</t>
  </si>
  <si>
    <t>20410991G2800</t>
    <phoneticPr fontId="1" type="noConversion"/>
  </si>
  <si>
    <t>20411051G07</t>
  </si>
  <si>
    <t>20410992G28</t>
  </si>
  <si>
    <t>20410991G2900</t>
    <phoneticPr fontId="1" type="noConversion"/>
  </si>
  <si>
    <t>20410991G3000</t>
    <phoneticPr fontId="1" type="noConversion"/>
  </si>
  <si>
    <t>20410991G3100</t>
    <phoneticPr fontId="1" type="noConversion"/>
  </si>
  <si>
    <t>20410991G3200</t>
    <phoneticPr fontId="1" type="noConversion"/>
  </si>
  <si>
    <t>20410991G3300</t>
    <phoneticPr fontId="1" type="noConversion"/>
  </si>
  <si>
    <t>20410991G3400</t>
    <phoneticPr fontId="1" type="noConversion"/>
  </si>
  <si>
    <t>20410991G3500</t>
    <phoneticPr fontId="1" type="noConversion"/>
  </si>
  <si>
    <t>20410991G3600</t>
    <phoneticPr fontId="1" type="noConversion"/>
  </si>
  <si>
    <t>20410991G3700</t>
    <phoneticPr fontId="1" type="noConversion"/>
  </si>
  <si>
    <t>20410991G3800</t>
    <phoneticPr fontId="1" type="noConversion"/>
  </si>
  <si>
    <t>20410991G3900</t>
    <phoneticPr fontId="1" type="noConversion"/>
  </si>
  <si>
    <t>20410991G4000</t>
    <phoneticPr fontId="1" type="noConversion"/>
  </si>
  <si>
    <t>20410991G4100</t>
    <phoneticPr fontId="1" type="noConversion"/>
  </si>
  <si>
    <t>20410991G4200</t>
    <phoneticPr fontId="1" type="noConversion"/>
  </si>
  <si>
    <t>20410991G4300</t>
    <phoneticPr fontId="1" type="noConversion"/>
  </si>
  <si>
    <t>20410991G4400</t>
    <phoneticPr fontId="1" type="noConversion"/>
  </si>
  <si>
    <t>20410991G4500</t>
    <phoneticPr fontId="1" type="noConversion"/>
  </si>
  <si>
    <t>20410991G4600</t>
    <phoneticPr fontId="1" type="noConversion"/>
  </si>
  <si>
    <t>20410991G4700</t>
    <phoneticPr fontId="1" type="noConversion"/>
  </si>
  <si>
    <t>20410991G4800</t>
    <phoneticPr fontId="1" type="noConversion"/>
  </si>
  <si>
    <t>20410991G4900</t>
    <phoneticPr fontId="1" type="noConversion"/>
  </si>
  <si>
    <t>20410991G5000</t>
    <phoneticPr fontId="1" type="noConversion"/>
  </si>
  <si>
    <t>20410991G5100</t>
    <phoneticPr fontId="1" type="noConversion"/>
  </si>
  <si>
    <t>20410991G5200</t>
    <phoneticPr fontId="1" type="noConversion"/>
  </si>
  <si>
    <t>20410991G5300</t>
    <phoneticPr fontId="1" type="noConversion"/>
  </si>
  <si>
    <t>20410991G5400</t>
    <phoneticPr fontId="1" type="noConversion"/>
  </si>
  <si>
    <t>20410991G5500</t>
    <phoneticPr fontId="1" type="noConversion"/>
  </si>
  <si>
    <t>20410991G5600</t>
    <phoneticPr fontId="1" type="noConversion"/>
  </si>
  <si>
    <t>20411101G0100</t>
    <phoneticPr fontId="1" type="noConversion"/>
  </si>
  <si>
    <t>20411102G01</t>
  </si>
  <si>
    <t>20411101G0200</t>
    <phoneticPr fontId="1" type="noConversion"/>
  </si>
  <si>
    <t>20411102G02</t>
  </si>
  <si>
    <t>20411101G0300</t>
    <phoneticPr fontId="1" type="noConversion"/>
  </si>
  <si>
    <t>20411102G03</t>
  </si>
  <si>
    <t>20411101G0400</t>
    <phoneticPr fontId="1" type="noConversion"/>
  </si>
  <si>
    <t>20411102G04</t>
  </si>
  <si>
    <t>20411101G0600</t>
    <phoneticPr fontId="1" type="noConversion"/>
  </si>
  <si>
    <t>20411101G0700</t>
    <phoneticPr fontId="1" type="noConversion"/>
  </si>
  <si>
    <t>20411101G0800</t>
    <phoneticPr fontId="1" type="noConversion"/>
  </si>
  <si>
    <t>20411101G0900</t>
    <phoneticPr fontId="1" type="noConversion"/>
  </si>
  <si>
    <t>20411103G0100</t>
    <phoneticPr fontId="1" type="noConversion"/>
  </si>
  <si>
    <t>20411104G01</t>
  </si>
  <si>
    <t>20411103G0200</t>
    <phoneticPr fontId="1" type="noConversion"/>
  </si>
  <si>
    <t>20411104G02</t>
  </si>
  <si>
    <t>20411103G0300</t>
    <phoneticPr fontId="1" type="noConversion"/>
  </si>
  <si>
    <t>20411104G03</t>
  </si>
  <si>
    <t>20411103G0400</t>
    <phoneticPr fontId="1" type="noConversion"/>
  </si>
  <si>
    <t>20411104G04</t>
  </si>
  <si>
    <t>20411103G0600</t>
    <phoneticPr fontId="1" type="noConversion"/>
  </si>
  <si>
    <t>20411103G0700</t>
    <phoneticPr fontId="1" type="noConversion"/>
  </si>
  <si>
    <t>GI</t>
    <phoneticPr fontId="1" type="noConversion"/>
  </si>
  <si>
    <t>20411103G0800</t>
    <phoneticPr fontId="1" type="noConversion"/>
  </si>
  <si>
    <t>20411103G0900</t>
    <phoneticPr fontId="1" type="noConversion"/>
  </si>
  <si>
    <t>20411113G01</t>
  </si>
  <si>
    <t>DOOR SUS</t>
  </si>
  <si>
    <t>DOOR만 SUS-HL</t>
  </si>
  <si>
    <t>20411106G01</t>
  </si>
  <si>
    <t>20411105G0200</t>
    <phoneticPr fontId="1" type="noConversion"/>
  </si>
  <si>
    <t>20411106G02</t>
  </si>
  <si>
    <t>20411105G0300</t>
    <phoneticPr fontId="1" type="noConversion"/>
  </si>
  <si>
    <t>20411106G03</t>
  </si>
  <si>
    <t>20411105G0400</t>
    <phoneticPr fontId="1" type="noConversion"/>
  </si>
  <si>
    <t>20411114G01</t>
  </si>
  <si>
    <t>20411106G04</t>
  </si>
  <si>
    <t>20411105G0600</t>
    <phoneticPr fontId="1" type="noConversion"/>
  </si>
  <si>
    <t>20411113G02</t>
  </si>
  <si>
    <t>20411106G06</t>
  </si>
  <si>
    <t>20411105G0700</t>
    <phoneticPr fontId="1" type="noConversion"/>
  </si>
  <si>
    <t>20411106G07</t>
  </si>
  <si>
    <t>20411105G0800</t>
    <phoneticPr fontId="1" type="noConversion"/>
  </si>
  <si>
    <t>20411106G08</t>
  </si>
  <si>
    <t>20411105G0900</t>
    <phoneticPr fontId="1" type="noConversion"/>
  </si>
  <si>
    <t>20411114G02</t>
  </si>
  <si>
    <t>20411106G09</t>
  </si>
  <si>
    <t>20411105G1100</t>
    <phoneticPr fontId="1" type="noConversion"/>
  </si>
  <si>
    <t>20411113G03</t>
  </si>
  <si>
    <t>20411106G11</t>
  </si>
  <si>
    <t>20411105G1200</t>
    <phoneticPr fontId="1" type="noConversion"/>
  </si>
  <si>
    <t>20411106G12</t>
  </si>
  <si>
    <t>20411105G1300</t>
    <phoneticPr fontId="1" type="noConversion"/>
  </si>
  <si>
    <t>20411106G13</t>
  </si>
  <si>
    <t>20411105G1400</t>
    <phoneticPr fontId="1" type="noConversion"/>
  </si>
  <si>
    <t>20411114G03</t>
  </si>
  <si>
    <t>20411106G14</t>
  </si>
  <si>
    <t>20411113G04</t>
  </si>
  <si>
    <t>20411106G16</t>
  </si>
  <si>
    <t>20411105G1700</t>
    <phoneticPr fontId="1" type="noConversion"/>
  </si>
  <si>
    <t>20411106G17</t>
  </si>
  <si>
    <t>20411105G1800</t>
    <phoneticPr fontId="1" type="noConversion"/>
  </si>
  <si>
    <t>20411106G18</t>
  </si>
  <si>
    <t>20411105G1900</t>
    <phoneticPr fontId="1" type="noConversion"/>
  </si>
  <si>
    <t>20411114G04</t>
  </si>
  <si>
    <t>20411106G19</t>
  </si>
  <si>
    <t>20411105G2100</t>
    <phoneticPr fontId="1" type="noConversion"/>
  </si>
  <si>
    <t>20411113G05</t>
  </si>
  <si>
    <t>20411106G21</t>
  </si>
  <si>
    <t>20411105G2200</t>
    <phoneticPr fontId="1" type="noConversion"/>
  </si>
  <si>
    <t>20411106G22</t>
  </si>
  <si>
    <t>20411105G2300</t>
    <phoneticPr fontId="1" type="noConversion"/>
  </si>
  <si>
    <t>20411106G23</t>
  </si>
  <si>
    <t>20411105G2400</t>
    <phoneticPr fontId="1" type="noConversion"/>
  </si>
  <si>
    <t>20411114G05</t>
  </si>
  <si>
    <t>20411106G24</t>
  </si>
  <si>
    <t>20411105G2600</t>
    <phoneticPr fontId="1" type="noConversion"/>
  </si>
  <si>
    <t>20411113G06</t>
  </si>
  <si>
    <t>20411106G26</t>
  </si>
  <si>
    <t>20411105G2700</t>
    <phoneticPr fontId="1" type="noConversion"/>
  </si>
  <si>
    <t>20411106G27</t>
  </si>
  <si>
    <t>20411105G2800</t>
    <phoneticPr fontId="1" type="noConversion"/>
  </si>
  <si>
    <t>20411106G28</t>
  </si>
  <si>
    <t>20411105G2900</t>
    <phoneticPr fontId="1" type="noConversion"/>
  </si>
  <si>
    <t>20411114G06</t>
  </si>
  <si>
    <t>20411106G29</t>
  </si>
  <si>
    <t>20411105G3600</t>
    <phoneticPr fontId="1" type="noConversion"/>
  </si>
  <si>
    <t>20411105G3700</t>
    <phoneticPr fontId="1" type="noConversion"/>
  </si>
  <si>
    <t>20411105G3800</t>
    <phoneticPr fontId="1" type="noConversion"/>
  </si>
  <si>
    <t>20411105G3900</t>
    <phoneticPr fontId="1" type="noConversion"/>
  </si>
  <si>
    <t>20411105G4100</t>
    <phoneticPr fontId="1" type="noConversion"/>
  </si>
  <si>
    <t>20411105G4200</t>
    <phoneticPr fontId="1" type="noConversion"/>
  </si>
  <si>
    <t>20411105G4300</t>
    <phoneticPr fontId="1" type="noConversion"/>
  </si>
  <si>
    <t>20411105G4400</t>
    <phoneticPr fontId="1" type="noConversion"/>
  </si>
  <si>
    <t>20411105G4600</t>
    <phoneticPr fontId="1" type="noConversion"/>
  </si>
  <si>
    <t>20411105G4700</t>
    <phoneticPr fontId="1" type="noConversion"/>
  </si>
  <si>
    <t>20411105G4800</t>
    <phoneticPr fontId="1" type="noConversion"/>
  </si>
  <si>
    <t>20411105G4900</t>
    <phoneticPr fontId="1" type="noConversion"/>
  </si>
  <si>
    <t>20411105G5100</t>
    <phoneticPr fontId="1" type="noConversion"/>
  </si>
  <si>
    <t>20411105G5200</t>
    <phoneticPr fontId="1" type="noConversion"/>
  </si>
  <si>
    <t>20411105G5300</t>
    <phoneticPr fontId="1" type="noConversion"/>
  </si>
  <si>
    <t>20411105G5400</t>
    <phoneticPr fontId="1" type="noConversion"/>
  </si>
  <si>
    <t>20411105G5600</t>
    <phoneticPr fontId="1" type="noConversion"/>
  </si>
  <si>
    <t>20411105G5700</t>
    <phoneticPr fontId="1" type="noConversion"/>
  </si>
  <si>
    <t>20411105G5800</t>
    <phoneticPr fontId="1" type="noConversion"/>
  </si>
  <si>
    <t>20411105G5900</t>
    <phoneticPr fontId="1" type="noConversion"/>
  </si>
  <si>
    <t>20411105G6100</t>
    <phoneticPr fontId="1" type="noConversion"/>
  </si>
  <si>
    <t>20411105G6200</t>
    <phoneticPr fontId="1" type="noConversion"/>
  </si>
  <si>
    <t>20411105G6300</t>
    <phoneticPr fontId="1" type="noConversion"/>
  </si>
  <si>
    <t>20411105G6400</t>
    <phoneticPr fontId="1" type="noConversion"/>
  </si>
  <si>
    <t>20411115G01</t>
  </si>
  <si>
    <t>20411108G01</t>
  </si>
  <si>
    <t>20411107G0200</t>
    <phoneticPr fontId="1" type="noConversion"/>
  </si>
  <si>
    <t>20411108G02</t>
  </si>
  <si>
    <t>20411107G0300</t>
    <phoneticPr fontId="1" type="noConversion"/>
  </si>
  <si>
    <t>20411108G03</t>
  </si>
  <si>
    <t>20411107G0400</t>
    <phoneticPr fontId="1" type="noConversion"/>
  </si>
  <si>
    <t>20411116G01</t>
  </si>
  <si>
    <t>20411108G04</t>
  </si>
  <si>
    <t>20411107G0500</t>
    <phoneticPr fontId="1" type="noConversion"/>
  </si>
  <si>
    <t>20411115G02</t>
  </si>
  <si>
    <t>20411108G05</t>
  </si>
  <si>
    <t>20411107G0600</t>
    <phoneticPr fontId="1" type="noConversion"/>
  </si>
  <si>
    <t>20411108G06</t>
  </si>
  <si>
    <t>20411107G0700</t>
    <phoneticPr fontId="1" type="noConversion"/>
  </si>
  <si>
    <t>20411108G07</t>
  </si>
  <si>
    <t>20411107G0800</t>
    <phoneticPr fontId="1" type="noConversion"/>
  </si>
  <si>
    <t>20411116G02</t>
  </si>
  <si>
    <t>20411108G08</t>
  </si>
  <si>
    <t>20411107G0900</t>
    <phoneticPr fontId="1" type="noConversion"/>
  </si>
  <si>
    <t>20411115G03</t>
  </si>
  <si>
    <t>20411108G09</t>
  </si>
  <si>
    <t>20411107G1000</t>
    <phoneticPr fontId="1" type="noConversion"/>
  </si>
  <si>
    <t>20411108G10</t>
  </si>
  <si>
    <t>20411107G1100</t>
    <phoneticPr fontId="1" type="noConversion"/>
  </si>
  <si>
    <t>20411108G11</t>
  </si>
  <si>
    <t>20411107G1200</t>
    <phoneticPr fontId="1" type="noConversion"/>
  </si>
  <si>
    <t>20411116G03</t>
  </si>
  <si>
    <t>20411108G12</t>
  </si>
  <si>
    <t>20411107G1300</t>
    <phoneticPr fontId="1" type="noConversion"/>
  </si>
  <si>
    <t>20411115G04</t>
  </si>
  <si>
    <t>20411108G13</t>
  </si>
  <si>
    <t>20411107G1400</t>
    <phoneticPr fontId="1" type="noConversion"/>
  </si>
  <si>
    <t>20411108G14</t>
  </si>
  <si>
    <t>20411107G1500</t>
    <phoneticPr fontId="1" type="noConversion"/>
  </si>
  <si>
    <t>20411108G15</t>
  </si>
  <si>
    <t>20411107G1600</t>
    <phoneticPr fontId="1" type="noConversion"/>
  </si>
  <si>
    <t>20411116G04</t>
  </si>
  <si>
    <t>20411108G16</t>
  </si>
  <si>
    <t>20411107G1700</t>
    <phoneticPr fontId="1" type="noConversion"/>
  </si>
  <si>
    <t>20411115G05</t>
  </si>
  <si>
    <t>20411108G17</t>
  </si>
  <si>
    <t>20411107G1800</t>
    <phoneticPr fontId="1" type="noConversion"/>
  </si>
  <si>
    <t>20411108G18</t>
  </si>
  <si>
    <t>20411107G1900</t>
    <phoneticPr fontId="1" type="noConversion"/>
  </si>
  <si>
    <t>20411108G19</t>
  </si>
  <si>
    <t>20411107G2000</t>
    <phoneticPr fontId="1" type="noConversion"/>
  </si>
  <si>
    <t>20411116G05</t>
  </si>
  <si>
    <t>20411108G20</t>
  </si>
  <si>
    <t>20411107G2100</t>
    <phoneticPr fontId="1" type="noConversion"/>
  </si>
  <si>
    <t>20411115G06</t>
  </si>
  <si>
    <t>20411108G21</t>
  </si>
  <si>
    <t>20411107G2200</t>
    <phoneticPr fontId="1" type="noConversion"/>
  </si>
  <si>
    <t>20411108G22</t>
  </si>
  <si>
    <t>20411107G2300</t>
    <phoneticPr fontId="1" type="noConversion"/>
  </si>
  <si>
    <t>20411108G23</t>
  </si>
  <si>
    <t>20411107G2400</t>
    <phoneticPr fontId="1" type="noConversion"/>
  </si>
  <si>
    <t>20411116G06</t>
  </si>
  <si>
    <t>20411108G24</t>
  </si>
  <si>
    <t>20411107G2900</t>
    <phoneticPr fontId="1" type="noConversion"/>
  </si>
  <si>
    <t>20411107G3000</t>
    <phoneticPr fontId="1" type="noConversion"/>
  </si>
  <si>
    <t>20411107G3100</t>
    <phoneticPr fontId="1" type="noConversion"/>
  </si>
  <si>
    <t>20411107G3200</t>
    <phoneticPr fontId="1" type="noConversion"/>
  </si>
  <si>
    <t>20411107G3300</t>
    <phoneticPr fontId="1" type="noConversion"/>
  </si>
  <si>
    <t>20411107G3400</t>
    <phoneticPr fontId="1" type="noConversion"/>
  </si>
  <si>
    <t>20411107G3500</t>
    <phoneticPr fontId="1" type="noConversion"/>
  </si>
  <si>
    <t>20411107G3600</t>
    <phoneticPr fontId="1" type="noConversion"/>
  </si>
  <si>
    <t>20411107G3700</t>
    <phoneticPr fontId="1" type="noConversion"/>
  </si>
  <si>
    <t>20411107G3800</t>
    <phoneticPr fontId="1" type="noConversion"/>
  </si>
  <si>
    <t>20411107G3900</t>
    <phoneticPr fontId="1" type="noConversion"/>
  </si>
  <si>
    <t>20411107G4000</t>
    <phoneticPr fontId="1" type="noConversion"/>
  </si>
  <si>
    <t>20411107G4100</t>
    <phoneticPr fontId="1" type="noConversion"/>
  </si>
  <si>
    <t>20411107G4200</t>
    <phoneticPr fontId="1" type="noConversion"/>
  </si>
  <si>
    <t>20411107G4300</t>
    <phoneticPr fontId="1" type="noConversion"/>
  </si>
  <si>
    <t>20411107G4400</t>
    <phoneticPr fontId="1" type="noConversion"/>
  </si>
  <si>
    <t>20411107G4500</t>
    <phoneticPr fontId="1" type="noConversion"/>
  </si>
  <si>
    <t>20411107G4600</t>
    <phoneticPr fontId="1" type="noConversion"/>
  </si>
  <si>
    <t>20411107G4700</t>
    <phoneticPr fontId="1" type="noConversion"/>
  </si>
  <si>
    <t>20411107G4800</t>
    <phoneticPr fontId="1" type="noConversion"/>
  </si>
  <si>
    <t>20411107G4900</t>
    <phoneticPr fontId="1" type="noConversion"/>
  </si>
  <si>
    <t>20411107G5000</t>
    <phoneticPr fontId="1" type="noConversion"/>
  </si>
  <si>
    <t>20411107G5100</t>
    <phoneticPr fontId="1" type="noConversion"/>
  </si>
  <si>
    <t>20411107G5200</t>
    <phoneticPr fontId="1" type="noConversion"/>
  </si>
  <si>
    <t>WBST-SE 일반형 (ELD일체형)</t>
    <phoneticPr fontId="1" type="noConversion"/>
  </si>
  <si>
    <t>20411310G01</t>
    <phoneticPr fontId="1" type="noConversion"/>
  </si>
  <si>
    <t>7.5kW</t>
    <phoneticPr fontId="1" type="noConversion"/>
  </si>
  <si>
    <t>GD</t>
    <phoneticPr fontId="1" type="noConversion"/>
  </si>
  <si>
    <t>20302159G10</t>
  </si>
  <si>
    <t>20302166G10</t>
  </si>
  <si>
    <t>20411314G01</t>
    <phoneticPr fontId="1" type="noConversion"/>
  </si>
  <si>
    <t>20411310G02</t>
  </si>
  <si>
    <t>11kW</t>
    <phoneticPr fontId="1" type="noConversion"/>
  </si>
  <si>
    <t>20302160G09</t>
  </si>
  <si>
    <t>20302167G09</t>
  </si>
  <si>
    <t>20411314G02</t>
  </si>
  <si>
    <t>20411310G0300</t>
    <phoneticPr fontId="1" type="noConversion"/>
  </si>
  <si>
    <t>20411310G03</t>
  </si>
  <si>
    <t>20302160G10</t>
  </si>
  <si>
    <t>20302167G10</t>
  </si>
  <si>
    <t>20411314G03</t>
  </si>
  <si>
    <t>20411310G0400</t>
    <phoneticPr fontId="1" type="noConversion"/>
  </si>
  <si>
    <t>20411310G04</t>
  </si>
  <si>
    <t>22kW</t>
    <phoneticPr fontId="1" type="noConversion"/>
  </si>
  <si>
    <t>20302161G05</t>
  </si>
  <si>
    <t>20302168G05</t>
  </si>
  <si>
    <t>20411314G04</t>
  </si>
  <si>
    <t>20411311G0100</t>
    <phoneticPr fontId="1" type="noConversion"/>
  </si>
  <si>
    <t>20411311G01</t>
    <phoneticPr fontId="1" type="noConversion"/>
  </si>
  <si>
    <t>20411315G01</t>
    <phoneticPr fontId="1" type="noConversion"/>
  </si>
  <si>
    <t>20411311G02</t>
  </si>
  <si>
    <t>20411315G02</t>
    <phoneticPr fontId="1" type="noConversion"/>
  </si>
  <si>
    <t>20411311G0300</t>
    <phoneticPr fontId="1" type="noConversion"/>
  </si>
  <si>
    <t>20411311G03</t>
  </si>
  <si>
    <t>20411315G03</t>
    <phoneticPr fontId="1" type="noConversion"/>
  </si>
  <si>
    <t>20411311G04</t>
  </si>
  <si>
    <t>20411315G04</t>
    <phoneticPr fontId="1" type="noConversion"/>
  </si>
  <si>
    <t>비상통화장치+통화료 포함</t>
    <phoneticPr fontId="1" type="noConversion"/>
  </si>
  <si>
    <t>* 비상통화장치 관련자재 제외</t>
    <phoneticPr fontId="1" type="noConversion"/>
  </si>
  <si>
    <t>* 카도어 모터,엔코더 제외</t>
    <phoneticPr fontId="1" type="noConversion"/>
  </si>
  <si>
    <t xml:space="preserve">업 체 명  : </t>
    <phoneticPr fontId="9" type="noConversion"/>
  </si>
  <si>
    <t xml:space="preserve">전화번호 : </t>
    <phoneticPr fontId="9" type="noConversion"/>
  </si>
  <si>
    <t xml:space="preserve">현 장 명 : </t>
    <phoneticPr fontId="9" type="noConversion"/>
  </si>
  <si>
    <t xml:space="preserve">현장주소 : </t>
    <phoneticPr fontId="9" type="noConversion"/>
  </si>
  <si>
    <t>멀티플</t>
    <phoneticPr fontId="1" type="noConversion"/>
  </si>
  <si>
    <t>노무비</t>
    <phoneticPr fontId="1" type="noConversion"/>
  </si>
  <si>
    <t>간접비</t>
    <phoneticPr fontId="1" type="noConversion"/>
  </si>
  <si>
    <t>영업이익</t>
    <phoneticPr fontId="1" type="noConversion"/>
  </si>
  <si>
    <r>
      <t>*</t>
    </r>
    <r>
      <rPr>
        <sz val="10"/>
        <color rgb="FF000000"/>
        <rFont val="Arial Unicode MS"/>
        <family val="2"/>
        <charset val="129"/>
      </rPr>
      <t>영업이익 10% 이나, 합계금액 절사되는 것에 대한 보상으로 11% 적용</t>
    </r>
    <phoneticPr fontId="1" type="noConversion"/>
  </si>
  <si>
    <t>HC15-1SCO60-10</t>
    <phoneticPr fontId="1" type="noConversion"/>
  </si>
  <si>
    <t>AIRCON CABLE</t>
    <phoneticPr fontId="1" type="noConversion"/>
  </si>
  <si>
    <t>별도형</t>
    <phoneticPr fontId="9" type="noConversion"/>
  </si>
  <si>
    <t>HX00058CH1200</t>
    <phoneticPr fontId="1" type="noConversion"/>
  </si>
  <si>
    <t xml:space="preserve">CABLE </t>
    <phoneticPr fontId="1" type="noConversion"/>
  </si>
  <si>
    <t>EVVF 0.75SQ x 12C, H TYPE</t>
  </si>
  <si>
    <t>CABLE(AIRCON CABLE)</t>
    <phoneticPr fontId="1" type="noConversion"/>
  </si>
  <si>
    <t>CP TO C.T.BOX - 1 CORE 30</t>
    <phoneticPr fontId="1" type="noConversion"/>
  </si>
  <si>
    <t>단가차이율</t>
    <phoneticPr fontId="1" type="noConversion"/>
  </si>
  <si>
    <t>*간접비는 출하 완료 후 정산하여 현장마다 다르게 적용</t>
    <phoneticPr fontId="1" type="noConversion"/>
  </si>
  <si>
    <t>견적시 예상이 어려우므로 H열,I열 추가적용율로 견적 반영</t>
    <phoneticPr fontId="1" type="noConversion"/>
  </si>
  <si>
    <t>20260812 단가</t>
    <phoneticPr fontId="1" type="noConversion"/>
  </si>
  <si>
    <t>단가차이</t>
    <phoneticPr fontId="1" type="noConversion"/>
  </si>
  <si>
    <t>차이율</t>
    <phoneticPr fontId="1" type="noConversion"/>
  </si>
  <si>
    <t>세븐엠</t>
    <phoneticPr fontId="1" type="noConversion"/>
  </si>
  <si>
    <t>세븐엠제작</t>
    <phoneticPr fontId="1" type="noConversion"/>
  </si>
  <si>
    <t>MR</t>
  </si>
  <si>
    <t>SE_인천_20260903-1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</si>
</sst>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76" formatCode="&quot;₩&quot;#,##0_);[Red]\(&quot;₩&quot;#,##0\)"/>
    <numFmt numFmtId="177" formatCode="yyyy\-mm\-dd\ hh:mm:ss"/>
    <numFmt numFmtId="178" formatCode="0_);[Red]\(0\)"/>
    <numFmt numFmtId="179" formatCode="General\ &quot;KW&quot;"/>
    <numFmt numFmtId="180" formatCode="General\ &quot;A&quot;"/>
    <numFmt numFmtId="181" formatCode="General&quot;KW&quot;"/>
    <numFmt numFmtId="182" formatCode="General\ &quot;mpm&quot;"/>
    <numFmt numFmtId="183" formatCode="0.0"/>
    <numFmt numFmtId="184" formatCode="General\ &quot;V&quot;"/>
    <numFmt numFmtId="185" formatCode="m/d/yyyy"/>
    <numFmt numFmtId="186" formatCode="&quot;₩&quot;#,##0.0_);[Red]\(&quot;₩&quot;#,##0.0\)"/>
    <numFmt numFmtId="187" formatCode="[DBNum4][$-412]General\ &quot;원정&quot;\ &quot;&lt;VAT별도,천단위 이하절사&gt;&quot;"/>
    <numFmt numFmtId="188" formatCode="0.0%"/>
  </numFmts>
  <fonts count="9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4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rgb="FF000000"/>
      <name val="Malgun Gothic"/>
      <family val="3"/>
      <charset val="129"/>
    </font>
    <font>
      <sz val="10"/>
      <color rgb="FF000000"/>
      <name val="Arial"/>
      <family val="2"/>
    </font>
    <font>
      <sz val="12"/>
      <color rgb="FF00B050"/>
      <name val="Roboto"/>
    </font>
    <font>
      <b/>
      <sz val="20"/>
      <color rgb="FF00B050"/>
      <name val="Roboto"/>
    </font>
    <font>
      <b/>
      <sz val="22"/>
      <color rgb="FF00B050"/>
      <name val="Roboto"/>
    </font>
    <font>
      <sz val="12"/>
      <color rgb="FF000000"/>
      <name val="Roboto"/>
    </font>
    <font>
      <b/>
      <sz val="20"/>
      <color rgb="FFA5A5A5"/>
      <name val="Roboto"/>
    </font>
    <font>
      <b/>
      <sz val="22"/>
      <color rgb="FF4472C4"/>
      <name val="Roboto"/>
    </font>
    <font>
      <sz val="10"/>
      <name val="Roboto"/>
    </font>
    <font>
      <b/>
      <sz val="24"/>
      <color theme="1"/>
      <name val="맑은 고딕"/>
      <family val="3"/>
      <charset val="129"/>
      <scheme val="major"/>
    </font>
    <font>
      <b/>
      <sz val="10"/>
      <color theme="1"/>
      <name val="Arial"/>
      <family val="2"/>
    </font>
    <font>
      <sz val="11"/>
      <color rgb="FF333F4F"/>
      <name val="Roboto"/>
    </font>
    <font>
      <sz val="11"/>
      <color rgb="FFFFFFFF"/>
      <name val="Roboto"/>
    </font>
    <font>
      <sz val="12"/>
      <name val="Roboto"/>
    </font>
    <font>
      <sz val="11"/>
      <name val="Roboto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i/>
      <sz val="11"/>
      <name val="Roboto"/>
    </font>
    <font>
      <sz val="11"/>
      <name val="Arial"/>
      <family val="2"/>
    </font>
    <font>
      <sz val="11"/>
      <color rgb="FF000000"/>
      <name val="Roboto"/>
    </font>
    <font>
      <sz val="11"/>
      <color rgb="FF000000"/>
      <name val="돋움"/>
      <family val="3"/>
      <charset val="129"/>
    </font>
    <font>
      <sz val="10"/>
      <color rgb="FF000000"/>
      <name val="Roboto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9"/>
      <color rgb="FFFFFFFF"/>
      <name val="돋움"/>
      <family val="3"/>
      <charset val="129"/>
    </font>
    <font>
      <sz val="10"/>
      <name val="돋움"/>
      <family val="3"/>
      <charset val="129"/>
    </font>
    <font>
      <sz val="9"/>
      <color rgb="FF000000"/>
      <name val="돋움"/>
      <family val="3"/>
      <charset val="129"/>
    </font>
    <font>
      <sz val="10"/>
      <name val="Arial"/>
      <family val="2"/>
    </font>
    <font>
      <sz val="9"/>
      <color rgb="FF000000"/>
      <name val="Roboto"/>
    </font>
    <font>
      <b/>
      <sz val="8"/>
      <color rgb="FF333F4F"/>
      <name val="roboto"/>
      <family val="2"/>
    </font>
    <font>
      <sz val="9"/>
      <color rgb="FF000000"/>
      <name val="roboto"/>
      <family val="2"/>
    </font>
    <font>
      <sz val="10"/>
      <color rgb="FF000000"/>
      <name val="roboto"/>
      <family val="2"/>
    </font>
    <font>
      <b/>
      <sz val="12"/>
      <color rgb="FF333F4F"/>
      <name val="roboto"/>
      <family val="2"/>
    </font>
    <font>
      <b/>
      <sz val="12"/>
      <color rgb="FF333F4F"/>
      <name val="돋움"/>
      <family val="3"/>
      <charset val="129"/>
    </font>
    <font>
      <sz val="8"/>
      <color rgb="FF333F4F"/>
      <name val="roboto"/>
      <family val="2"/>
    </font>
    <font>
      <sz val="8"/>
      <color rgb="FF333F4F"/>
      <name val="돋움"/>
      <family val="3"/>
      <charset val="129"/>
    </font>
    <font>
      <b/>
      <sz val="12"/>
      <name val="roboto"/>
      <family val="2"/>
    </font>
    <font>
      <b/>
      <sz val="10"/>
      <color theme="1" tint="0.34998626667073579"/>
      <name val="Arial"/>
      <family val="2"/>
    </font>
    <font>
      <b/>
      <sz val="9"/>
      <color rgb="FF333F4F"/>
      <name val="roboto"/>
      <family val="2"/>
    </font>
    <font>
      <b/>
      <sz val="11"/>
      <color rgb="FF333F4F"/>
      <name val="roboto"/>
      <family val="2"/>
    </font>
    <font>
      <sz val="11"/>
      <color theme="0" tint="-0.499984740745262"/>
      <name val="돋움"/>
      <family val="3"/>
      <charset val="129"/>
    </font>
    <font>
      <sz val="12"/>
      <color theme="0" tint="-0.499984740745262"/>
      <name val="roboto"/>
      <family val="2"/>
    </font>
    <font>
      <sz val="10"/>
      <color rgb="FF000000"/>
      <name val="roboto"/>
      <family val="3"/>
      <charset val="129"/>
    </font>
    <font>
      <sz val="10"/>
      <name val="맑은 고딕"/>
      <family val="3"/>
      <charset val="129"/>
      <scheme val="major"/>
    </font>
    <font>
      <sz val="11"/>
      <name val="roboto"/>
      <family val="2"/>
    </font>
    <font>
      <b/>
      <sz val="11"/>
      <name val="roboto"/>
      <family val="3"/>
      <charset val="129"/>
    </font>
    <font>
      <b/>
      <sz val="11"/>
      <name val="돋움"/>
      <family val="3"/>
      <charset val="129"/>
    </font>
    <font>
      <b/>
      <sz val="11"/>
      <name val="roboto"/>
      <family val="2"/>
    </font>
    <font>
      <sz val="10"/>
      <name val="roboto"/>
      <family val="2"/>
    </font>
    <font>
      <sz val="11"/>
      <name val="roboto"/>
      <family val="3"/>
    </font>
    <font>
      <sz val="11"/>
      <name val="Segoe UI Symbol"/>
      <family val="3"/>
    </font>
    <font>
      <u/>
      <sz val="11"/>
      <name val="roboto"/>
      <family val="2"/>
    </font>
    <font>
      <u/>
      <sz val="11"/>
      <name val="돋움"/>
      <family val="3"/>
      <charset val="129"/>
    </font>
    <font>
      <sz val="11"/>
      <color rgb="FF000000"/>
      <name val="Arial"/>
      <family val="2"/>
    </font>
    <font>
      <sz val="11"/>
      <name val="roboto"/>
      <family val="3"/>
      <charset val="129"/>
    </font>
    <font>
      <b/>
      <sz val="10"/>
      <color rgb="FF000000"/>
      <name val="돋움"/>
      <family val="3"/>
      <charset val="129"/>
    </font>
    <font>
      <b/>
      <sz val="10"/>
      <color rgb="FF000000"/>
      <name val="Roboto"/>
    </font>
    <font>
      <sz val="10"/>
      <color rgb="FF000000"/>
      <name val="맑은 고딕"/>
      <family val="2"/>
      <charset val="129"/>
    </font>
    <font>
      <b/>
      <sz val="9"/>
      <color rgb="FF000000"/>
      <name val="돋움"/>
      <family val="3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1"/>
      <color rgb="FFFF0000"/>
      <name val="맑은 고딕"/>
      <family val="2"/>
      <charset val="129"/>
    </font>
    <font>
      <sz val="11"/>
      <color rgb="FF4472C4"/>
      <name val="맑은 고딕"/>
      <family val="2"/>
      <charset val="129"/>
    </font>
    <font>
      <sz val="11"/>
      <name val="맑은 고딕"/>
      <family val="2"/>
      <charset val="129"/>
    </font>
    <font>
      <sz val="11"/>
      <color rgb="FFFF0000"/>
      <name val="맑은 고딕"/>
      <family val="3"/>
      <charset val="129"/>
    </font>
    <font>
      <b/>
      <sz val="11"/>
      <color theme="1"/>
      <name val="맑은 고딕"/>
      <family val="2"/>
      <charset val="129"/>
      <scheme val="minor"/>
    </font>
    <font>
      <sz val="10"/>
      <color rgb="FF000000"/>
      <name val="Arial Unicode MS"/>
      <family val="2"/>
      <charset val="129"/>
    </font>
    <font>
      <b/>
      <sz val="10"/>
      <color rgb="FF000000"/>
      <name val="Arial"/>
      <family val="2"/>
    </font>
    <font>
      <b/>
      <sz val="10"/>
      <color rgb="FF000000"/>
      <name val="Arial Unicode MS"/>
      <family val="2"/>
      <charset val="129"/>
    </font>
    <font>
      <b/>
      <sz val="10"/>
      <color rgb="FF000000"/>
      <name val="맑은 고딕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008837"/>
        <bgColor rgb="FFCC0000"/>
      </patternFill>
    </fill>
    <fill>
      <patternFill patternType="solid">
        <fgColor theme="0" tint="-4.9989318521683403E-2"/>
        <bgColor rgb="FFF3F3F3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5F5F5"/>
        <bgColor rgb="FFFFFFFF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9E1F2"/>
        <bgColor rgb="FFD9E1F2"/>
      </patternFill>
    </fill>
  </fills>
  <borders count="49">
    <border>
      <left/>
      <right/>
      <top/>
      <bottom/>
      <diagonal/>
    </border>
    <border>
      <left style="thin">
        <color rgb="FFD4D4D4"/>
      </left>
      <right style="thin">
        <color rgb="FF808080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4D4D4"/>
      </left>
      <right style="thin">
        <color rgb="FF808080"/>
      </right>
      <top/>
      <bottom/>
      <diagonal/>
    </border>
    <border>
      <left style="thin">
        <color rgb="FFD4D4D4"/>
      </left>
      <right style="thin">
        <color rgb="FFD4D4D4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D4D4D4"/>
      </left>
      <right style="thin">
        <color rgb="FFD4D4D4"/>
      </right>
      <top/>
      <bottom style="thin">
        <color rgb="FFD4D4D4"/>
      </bottom>
      <diagonal/>
    </border>
    <border>
      <left/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000000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rgb="FFD4D4D4"/>
      </right>
      <top style="thin">
        <color rgb="FFD4D4D4"/>
      </top>
      <bottom/>
      <diagonal/>
    </border>
    <border>
      <left/>
      <right style="thin">
        <color rgb="FFD4D4D4"/>
      </right>
      <top/>
      <bottom style="thin">
        <color rgb="FFD4D4D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8" fillId="0" borderId="0"/>
    <xf numFmtId="41" fontId="2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</cellStyleXfs>
  <cellXfs count="5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/>
    <xf numFmtId="0" fontId="0" fillId="0" borderId="0" xfId="0" applyAlignment="1"/>
    <xf numFmtId="0" fontId="0" fillId="0" borderId="2" xfId="0" applyBorder="1" applyAlignment="1"/>
    <xf numFmtId="0" fontId="0" fillId="0" borderId="9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2" xfId="0" applyBorder="1" applyAlignment="1"/>
    <xf numFmtId="0" fontId="0" fillId="0" borderId="13" xfId="0" applyBorder="1" applyAlignment="1"/>
    <xf numFmtId="0" fontId="0" fillId="0" borderId="0" xfId="0" applyAlignment="1" applyProtection="1">
      <protection locked="0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4" xfId="0" applyBorder="1">
      <alignment vertical="center"/>
    </xf>
    <xf numFmtId="41" fontId="0" fillId="0" borderId="0" xfId="1" applyFont="1">
      <alignment vertical="center"/>
    </xf>
    <xf numFmtId="41" fontId="0" fillId="0" borderId="0" xfId="1" applyFont="1" applyAlignment="1">
      <alignment horizontal="center" vertical="center"/>
    </xf>
    <xf numFmtId="0" fontId="0" fillId="0" borderId="5" xfId="0" applyBorder="1">
      <alignment vertical="center"/>
    </xf>
    <xf numFmtId="0" fontId="0" fillId="0" borderId="3" xfId="0" applyBorder="1">
      <alignment vertical="center"/>
    </xf>
    <xf numFmtId="0" fontId="0" fillId="8" borderId="5" xfId="0" applyFill="1" applyBorder="1">
      <alignment vertical="center"/>
    </xf>
    <xf numFmtId="0" fontId="0" fillId="8" borderId="0" xfId="0" applyFill="1">
      <alignment vertical="center"/>
    </xf>
    <xf numFmtId="0" fontId="0" fillId="8" borderId="3" xfId="0" applyFill="1" applyBorder="1">
      <alignment vertical="center"/>
    </xf>
    <xf numFmtId="41" fontId="4" fillId="0" borderId="0" xfId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9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41" fontId="4" fillId="0" borderId="11" xfId="1" applyFont="1" applyBorder="1">
      <alignment vertical="center"/>
    </xf>
    <xf numFmtId="41" fontId="18" fillId="0" borderId="11" xfId="1" applyFont="1" applyBorder="1">
      <alignment vertical="center"/>
    </xf>
    <xf numFmtId="0" fontId="18" fillId="0" borderId="11" xfId="0" applyFont="1" applyBorder="1" applyAlignment="1">
      <alignment horizontal="center" vertical="center"/>
    </xf>
    <xf numFmtId="0" fontId="13" fillId="0" borderId="0" xfId="5" applyFont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20" fillId="4" borderId="0" xfId="0" applyFont="1" applyFill="1">
      <alignment vertical="center"/>
    </xf>
    <xf numFmtId="0" fontId="0" fillId="4" borderId="0" xfId="0" applyFill="1">
      <alignment vertical="center"/>
    </xf>
    <xf numFmtId="0" fontId="20" fillId="10" borderId="0" xfId="0" applyFont="1" applyFill="1">
      <alignment vertical="center"/>
    </xf>
    <xf numFmtId="0" fontId="0" fillId="10" borderId="0" xfId="0" applyFill="1">
      <alignment vertical="center"/>
    </xf>
    <xf numFmtId="41" fontId="10" fillId="0" borderId="11" xfId="1" applyFont="1" applyBorder="1" applyAlignment="1">
      <alignment horizontal="center" vertical="center"/>
    </xf>
    <xf numFmtId="0" fontId="15" fillId="11" borderId="16" xfId="0" applyFont="1" applyFill="1" applyBorder="1" applyAlignment="1">
      <alignment horizontal="center" vertical="center"/>
    </xf>
    <xf numFmtId="0" fontId="15" fillId="11" borderId="17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10" fillId="0" borderId="0" xfId="1" applyFont="1" applyBorder="1" applyAlignment="1">
      <alignment horizontal="center" vertical="center"/>
    </xf>
    <xf numFmtId="41" fontId="4" fillId="0" borderId="0" xfId="1" applyFont="1" applyBorder="1">
      <alignment vertical="center"/>
    </xf>
    <xf numFmtId="41" fontId="18" fillId="0" borderId="0" xfId="1" applyFont="1" applyBorder="1">
      <alignment vertical="center"/>
    </xf>
    <xf numFmtId="179" fontId="4" fillId="0" borderId="0" xfId="0" applyNumberFormat="1" applyFont="1" applyAlignment="1">
      <alignment horizontal="center" vertical="center"/>
    </xf>
    <xf numFmtId="179" fontId="0" fillId="0" borderId="0" xfId="0" applyNumberFormat="1">
      <alignment vertical="center"/>
    </xf>
    <xf numFmtId="180" fontId="4" fillId="0" borderId="0" xfId="1" applyNumberFormat="1" applyFont="1" applyAlignment="1">
      <alignment horizontal="center" vertical="center"/>
    </xf>
    <xf numFmtId="181" fontId="18" fillId="0" borderId="11" xfId="0" applyNumberFormat="1" applyFont="1" applyBorder="1" applyAlignment="1">
      <alignment horizontal="center" vertical="center"/>
    </xf>
    <xf numFmtId="0" fontId="16" fillId="0" borderId="0" xfId="0" applyFont="1">
      <alignment vertical="center"/>
    </xf>
    <xf numFmtId="182" fontId="4" fillId="0" borderId="0" xfId="0" applyNumberFormat="1" applyFont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0" fontId="25" fillId="0" borderId="0" xfId="0" applyFont="1">
      <alignment vertical="center"/>
    </xf>
    <xf numFmtId="184" fontId="4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6" fillId="0" borderId="0" xfId="0" applyFont="1">
      <alignment vertical="center"/>
    </xf>
    <xf numFmtId="0" fontId="16" fillId="0" borderId="0" xfId="0" applyFont="1" applyAlignment="1"/>
    <xf numFmtId="0" fontId="24" fillId="0" borderId="0" xfId="0" applyFont="1" applyAlignment="1"/>
    <xf numFmtId="0" fontId="0" fillId="3" borderId="2" xfId="0" applyFill="1" applyBorder="1" applyAlignment="1"/>
    <xf numFmtId="0" fontId="0" fillId="3" borderId="19" xfId="0" applyFill="1" applyBorder="1" applyAlignment="1"/>
    <xf numFmtId="0" fontId="0" fillId="9" borderId="2" xfId="0" applyFill="1" applyBorder="1" applyAlignment="1"/>
    <xf numFmtId="0" fontId="1" fillId="0" borderId="0" xfId="0" applyFont="1" applyAlignment="1">
      <alignment vertical="center" wrapText="1"/>
    </xf>
    <xf numFmtId="0" fontId="0" fillId="14" borderId="0" xfId="0" applyFill="1">
      <alignment vertical="center"/>
    </xf>
    <xf numFmtId="41" fontId="0" fillId="14" borderId="0" xfId="0" applyNumberFormat="1" applyFill="1">
      <alignment vertical="center"/>
    </xf>
    <xf numFmtId="41" fontId="0" fillId="0" borderId="0" xfId="0" applyNumberFormat="1">
      <alignment vertical="center"/>
    </xf>
    <xf numFmtId="43" fontId="0" fillId="0" borderId="0" xfId="0" applyNumberFormat="1">
      <alignment vertical="center"/>
    </xf>
    <xf numFmtId="41" fontId="0" fillId="0" borderId="2" xfId="1" applyFont="1" applyBorder="1" applyAlignment="1"/>
    <xf numFmtId="41" fontId="0" fillId="0" borderId="2" xfId="0" applyNumberFormat="1" applyBorder="1" applyAlignment="1"/>
    <xf numFmtId="0" fontId="0" fillId="0" borderId="19" xfId="0" applyBorder="1" applyAlignment="1"/>
    <xf numFmtId="0" fontId="0" fillId="2" borderId="11" xfId="0" applyFill="1" applyBorder="1" applyAlignment="1"/>
    <xf numFmtId="41" fontId="0" fillId="0" borderId="11" xfId="1" applyFont="1" applyBorder="1" applyAlignment="1"/>
    <xf numFmtId="0" fontId="0" fillId="0" borderId="11" xfId="0" applyBorder="1" applyAlignment="1"/>
    <xf numFmtId="0" fontId="7" fillId="0" borderId="11" xfId="0" applyFont="1" applyBorder="1" applyAlignment="1"/>
    <xf numFmtId="41" fontId="0" fillId="0" borderId="11" xfId="1" applyFont="1" applyFill="1" applyBorder="1" applyAlignment="1"/>
    <xf numFmtId="0" fontId="0" fillId="0" borderId="11" xfId="0" applyBorder="1" applyAlignment="1">
      <alignment horizontal="center"/>
    </xf>
    <xf numFmtId="0" fontId="12" fillId="0" borderId="11" xfId="0" applyFont="1" applyBorder="1" applyAlignment="1"/>
    <xf numFmtId="0" fontId="3" fillId="0" borderId="11" xfId="0" applyFont="1" applyBorder="1" applyAlignment="1"/>
    <xf numFmtId="0" fontId="0" fillId="0" borderId="11" xfId="0" applyBorder="1" applyAlignment="1" applyProtection="1">
      <protection locked="0"/>
    </xf>
    <xf numFmtId="0" fontId="0" fillId="0" borderId="11" xfId="0" applyBorder="1" applyAlignment="1">
      <alignment wrapText="1"/>
    </xf>
    <xf numFmtId="0" fontId="3" fillId="0" borderId="11" xfId="0" applyFont="1" applyBorder="1" applyAlignment="1" applyProtection="1">
      <protection locked="0"/>
    </xf>
    <xf numFmtId="178" fontId="3" fillId="0" borderId="11" xfId="0" applyNumberFormat="1" applyFont="1" applyBorder="1" applyAlignment="1" applyProtection="1">
      <alignment horizontal="center" vertical="center"/>
      <protection locked="0"/>
    </xf>
    <xf numFmtId="0" fontId="0" fillId="0" borderId="11" xfId="0" applyBorder="1">
      <alignment vertical="center"/>
    </xf>
    <xf numFmtId="1" fontId="3" fillId="0" borderId="11" xfId="0" applyNumberFormat="1" applyFont="1" applyBorder="1">
      <alignment vertical="center"/>
    </xf>
    <xf numFmtId="0" fontId="0" fillId="0" borderId="11" xfId="0" applyBorder="1" applyAlignment="1">
      <alignment horizontal="center" vertical="center"/>
    </xf>
    <xf numFmtId="41" fontId="0" fillId="0" borderId="19" xfId="1" applyFont="1" applyBorder="1" applyAlignment="1"/>
    <xf numFmtId="0" fontId="0" fillId="0" borderId="20" xfId="0" applyBorder="1" applyAlignment="1"/>
    <xf numFmtId="177" fontId="0" fillId="0" borderId="11" xfId="0" applyNumberFormat="1" applyBorder="1" applyAlignment="1"/>
    <xf numFmtId="177" fontId="0" fillId="0" borderId="11" xfId="0" applyNumberFormat="1" applyBorder="1" applyAlignment="1">
      <alignment horizontal="right"/>
    </xf>
    <xf numFmtId="1" fontId="3" fillId="0" borderId="11" xfId="0" applyNumberFormat="1" applyFont="1" applyBorder="1" applyAlignment="1" applyProtection="1">
      <alignment horizontal="center" vertical="center"/>
      <protection locked="0"/>
    </xf>
    <xf numFmtId="9" fontId="0" fillId="0" borderId="0" xfId="7" applyFont="1">
      <alignment vertical="center"/>
    </xf>
    <xf numFmtId="41" fontId="0" fillId="0" borderId="0" xfId="0" applyNumberFormat="1" applyAlignment="1">
      <alignment horizontal="center" vertical="center"/>
    </xf>
    <xf numFmtId="41" fontId="0" fillId="0" borderId="11" xfId="1" applyFont="1" applyBorder="1">
      <alignment vertical="center"/>
    </xf>
    <xf numFmtId="0" fontId="0" fillId="0" borderId="2" xfId="0" applyBorder="1" applyAlignment="1">
      <alignment horizontal="left"/>
    </xf>
    <xf numFmtId="0" fontId="0" fillId="8" borderId="11" xfId="0" applyFill="1" applyBorder="1" applyAlignment="1"/>
    <xf numFmtId="0" fontId="3" fillId="8" borderId="11" xfId="0" applyFont="1" applyFill="1" applyBorder="1" applyAlignment="1"/>
    <xf numFmtId="0" fontId="25" fillId="8" borderId="11" xfId="0" applyFont="1" applyFill="1" applyBorder="1" applyAlignment="1"/>
    <xf numFmtId="0" fontId="7" fillId="8" borderId="11" xfId="0" applyFont="1" applyFill="1" applyBorder="1" applyAlignment="1"/>
    <xf numFmtId="41" fontId="0" fillId="8" borderId="11" xfId="1" applyFont="1" applyFill="1" applyBorder="1" applyAlignment="1"/>
    <xf numFmtId="0" fontId="12" fillId="8" borderId="11" xfId="0" applyFont="1" applyFill="1" applyBorder="1" applyAlignment="1"/>
    <xf numFmtId="0" fontId="0" fillId="8" borderId="11" xfId="0" applyFill="1" applyBorder="1" applyAlignment="1">
      <alignment horizontal="center"/>
    </xf>
    <xf numFmtId="0" fontId="14" fillId="8" borderId="11" xfId="0" applyFont="1" applyFill="1" applyBorder="1" applyAlignment="1">
      <alignment horizontal="left" vertical="center"/>
    </xf>
    <xf numFmtId="0" fontId="0" fillId="8" borderId="11" xfId="0" applyFill="1" applyBorder="1" applyAlignment="1" applyProtection="1">
      <protection locked="0"/>
    </xf>
    <xf numFmtId="0" fontId="0" fillId="8" borderId="11" xfId="0" applyFill="1" applyBorder="1" applyAlignment="1">
      <alignment wrapText="1"/>
    </xf>
    <xf numFmtId="0" fontId="3" fillId="8" borderId="11" xfId="0" applyFont="1" applyFill="1" applyBorder="1" applyAlignment="1" applyProtection="1">
      <protection locked="0"/>
    </xf>
    <xf numFmtId="178" fontId="0" fillId="8" borderId="11" xfId="0" applyNumberFormat="1" applyFill="1" applyBorder="1" applyAlignment="1"/>
    <xf numFmtId="0" fontId="12" fillId="8" borderId="11" xfId="0" applyFont="1" applyFill="1" applyBorder="1" applyAlignment="1" applyProtection="1">
      <protection locked="0"/>
    </xf>
    <xf numFmtId="0" fontId="0" fillId="16" borderId="11" xfId="0" applyFill="1" applyBorder="1">
      <alignment vertical="center"/>
    </xf>
    <xf numFmtId="0" fontId="0" fillId="16" borderId="11" xfId="0" applyFill="1" applyBorder="1" applyAlignment="1">
      <alignment horizontal="center" vertical="center"/>
    </xf>
    <xf numFmtId="0" fontId="0" fillId="17" borderId="11" xfId="0" applyFill="1" applyBorder="1">
      <alignment vertical="center"/>
    </xf>
    <xf numFmtId="0" fontId="3" fillId="16" borderId="11" xfId="0" applyFont="1" applyFill="1" applyBorder="1">
      <alignment vertical="center"/>
    </xf>
    <xf numFmtId="41" fontId="0" fillId="16" borderId="11" xfId="1" applyFont="1" applyFill="1" applyBorder="1" applyAlignment="1"/>
    <xf numFmtId="41" fontId="0" fillId="16" borderId="11" xfId="1" applyFont="1" applyFill="1" applyBorder="1">
      <alignment vertical="center"/>
    </xf>
    <xf numFmtId="0" fontId="0" fillId="16" borderId="11" xfId="0" applyFill="1" applyBorder="1" applyAlignment="1"/>
    <xf numFmtId="0" fontId="0" fillId="5" borderId="11" xfId="0" applyFill="1" applyBorder="1" applyAlignment="1"/>
    <xf numFmtId="0" fontId="0" fillId="5" borderId="11" xfId="0" applyFill="1" applyBorder="1" applyAlignment="1">
      <alignment horizontal="center"/>
    </xf>
    <xf numFmtId="0" fontId="3" fillId="5" borderId="11" xfId="0" applyFont="1" applyFill="1" applyBorder="1" applyAlignment="1"/>
    <xf numFmtId="0" fontId="7" fillId="5" borderId="11" xfId="0" applyFont="1" applyFill="1" applyBorder="1" applyAlignment="1"/>
    <xf numFmtId="0" fontId="0" fillId="5" borderId="11" xfId="0" applyFill="1" applyBorder="1" applyAlignment="1" applyProtection="1">
      <protection locked="0"/>
    </xf>
    <xf numFmtId="0" fontId="0" fillId="5" borderId="11" xfId="0" applyFill="1" applyBorder="1" applyAlignment="1">
      <alignment wrapText="1"/>
    </xf>
    <xf numFmtId="41" fontId="0" fillId="5" borderId="11" xfId="1" applyFont="1" applyFill="1" applyBorder="1" applyAlignment="1"/>
    <xf numFmtId="0" fontId="3" fillId="5" borderId="11" xfId="0" applyFont="1" applyFill="1" applyBorder="1" applyAlignment="1" applyProtection="1">
      <protection locked="0"/>
    </xf>
    <xf numFmtId="0" fontId="0" fillId="18" borderId="11" xfId="0" applyFill="1" applyBorder="1" applyAlignment="1"/>
    <xf numFmtId="0" fontId="0" fillId="18" borderId="11" xfId="0" applyFill="1" applyBorder="1" applyAlignment="1">
      <alignment horizontal="center"/>
    </xf>
    <xf numFmtId="0" fontId="3" fillId="18" borderId="11" xfId="0" applyFont="1" applyFill="1" applyBorder="1" applyAlignment="1"/>
    <xf numFmtId="0" fontId="7" fillId="18" borderId="11" xfId="0" applyFont="1" applyFill="1" applyBorder="1" applyAlignment="1"/>
    <xf numFmtId="0" fontId="0" fillId="18" borderId="11" xfId="0" applyFill="1" applyBorder="1" applyAlignment="1" applyProtection="1">
      <protection locked="0"/>
    </xf>
    <xf numFmtId="0" fontId="0" fillId="18" borderId="11" xfId="0" applyFill="1" applyBorder="1" applyAlignment="1">
      <alignment wrapText="1"/>
    </xf>
    <xf numFmtId="41" fontId="0" fillId="18" borderId="11" xfId="1" applyFont="1" applyFill="1" applyBorder="1" applyAlignment="1"/>
    <xf numFmtId="0" fontId="0" fillId="8" borderId="11" xfId="0" applyFill="1" applyBorder="1" applyAlignment="1" applyProtection="1">
      <alignment horizontal="right" vertical="center"/>
      <protection locked="0"/>
    </xf>
    <xf numFmtId="177" fontId="0" fillId="8" borderId="11" xfId="0" applyNumberFormat="1" applyFill="1" applyBorder="1" applyAlignment="1"/>
    <xf numFmtId="0" fontId="0" fillId="15" borderId="11" xfId="0" applyFill="1" applyBorder="1" applyAlignment="1"/>
    <xf numFmtId="0" fontId="0" fillId="15" borderId="11" xfId="0" applyFill="1" applyBorder="1" applyAlignment="1">
      <alignment horizontal="center"/>
    </xf>
    <xf numFmtId="0" fontId="3" fillId="15" borderId="11" xfId="0" applyFont="1" applyFill="1" applyBorder="1" applyAlignment="1"/>
    <xf numFmtId="0" fontId="7" fillId="15" borderId="11" xfId="0" applyFont="1" applyFill="1" applyBorder="1" applyAlignment="1"/>
    <xf numFmtId="0" fontId="0" fillId="15" borderId="11" xfId="0" applyFill="1" applyBorder="1" applyAlignment="1" applyProtection="1">
      <protection locked="0"/>
    </xf>
    <xf numFmtId="0" fontId="0" fillId="15" borderId="11" xfId="0" applyFill="1" applyBorder="1" applyAlignment="1">
      <alignment wrapText="1"/>
    </xf>
    <xf numFmtId="177" fontId="0" fillId="15" borderId="11" xfId="0" applyNumberFormat="1" applyFill="1" applyBorder="1" applyAlignment="1"/>
    <xf numFmtId="177" fontId="0" fillId="15" borderId="11" xfId="0" applyNumberFormat="1" applyFill="1" applyBorder="1" applyAlignment="1">
      <alignment horizontal="right"/>
    </xf>
    <xf numFmtId="0" fontId="3" fillId="15" borderId="11" xfId="0" applyFont="1" applyFill="1" applyBorder="1" applyAlignment="1" applyProtection="1">
      <protection locked="0"/>
    </xf>
    <xf numFmtId="177" fontId="0" fillId="5" borderId="11" xfId="0" applyNumberFormat="1" applyFill="1" applyBorder="1" applyAlignment="1"/>
    <xf numFmtId="177" fontId="0" fillId="5" borderId="11" xfId="0" applyNumberFormat="1" applyFill="1" applyBorder="1" applyAlignment="1">
      <alignment horizontal="right"/>
    </xf>
    <xf numFmtId="0" fontId="0" fillId="0" borderId="11" xfId="0" applyBorder="1" applyAlignment="1">
      <alignment horizontal="left" vertical="center"/>
    </xf>
    <xf numFmtId="41" fontId="0" fillId="0" borderId="11" xfId="1" applyFont="1" applyBorder="1" applyAlignment="1">
      <alignment horizontal="left" vertical="center"/>
    </xf>
    <xf numFmtId="0" fontId="0" fillId="8" borderId="11" xfId="0" applyFill="1" applyBorder="1" applyAlignment="1" applyProtection="1">
      <alignment horizontal="center"/>
      <protection locked="0"/>
    </xf>
    <xf numFmtId="41" fontId="0" fillId="0" borderId="11" xfId="1" applyFont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41" fontId="0" fillId="13" borderId="11" xfId="1" applyFont="1" applyFill="1" applyBorder="1" applyAlignment="1">
      <alignment horizontal="center" vertical="center"/>
    </xf>
    <xf numFmtId="41" fontId="0" fillId="13" borderId="11" xfId="0" applyNumberFormat="1" applyFill="1" applyBorder="1" applyAlignment="1">
      <alignment horizontal="center" vertical="center"/>
    </xf>
    <xf numFmtId="9" fontId="0" fillId="0" borderId="11" xfId="7" applyFont="1" applyBorder="1" applyAlignment="1">
      <alignment horizontal="center" vertical="center"/>
    </xf>
    <xf numFmtId="9" fontId="0" fillId="0" borderId="11" xfId="7" applyFont="1" applyBorder="1">
      <alignment vertical="center"/>
    </xf>
    <xf numFmtId="0" fontId="0" fillId="2" borderId="22" xfId="0" applyFill="1" applyBorder="1" applyAlignment="1"/>
    <xf numFmtId="0" fontId="0" fillId="8" borderId="22" xfId="0" applyFill="1" applyBorder="1" applyAlignment="1"/>
    <xf numFmtId="0" fontId="0" fillId="0" borderId="22" xfId="0" applyBorder="1" applyAlignment="1"/>
    <xf numFmtId="0" fontId="0" fillId="15" borderId="22" xfId="0" applyFill="1" applyBorder="1" applyAlignment="1"/>
    <xf numFmtId="0" fontId="0" fillId="5" borderId="22" xfId="0" applyFill="1" applyBorder="1" applyAlignment="1"/>
    <xf numFmtId="0" fontId="0" fillId="0" borderId="22" xfId="0" applyBorder="1">
      <alignment vertical="center"/>
    </xf>
    <xf numFmtId="41" fontId="0" fillId="15" borderId="11" xfId="1" applyFont="1" applyFill="1" applyBorder="1" applyAlignment="1"/>
    <xf numFmtId="41" fontId="0" fillId="13" borderId="11" xfId="1" applyFont="1" applyFill="1" applyBorder="1" applyAlignment="1"/>
    <xf numFmtId="41" fontId="0" fillId="0" borderId="23" xfId="1" applyFont="1" applyFill="1" applyBorder="1" applyAlignment="1"/>
    <xf numFmtId="0" fontId="0" fillId="13" borderId="11" xfId="0" applyFill="1" applyBorder="1">
      <alignment vertical="center"/>
    </xf>
    <xf numFmtId="0" fontId="0" fillId="12" borderId="11" xfId="0" applyFill="1" applyBorder="1">
      <alignment vertical="center"/>
    </xf>
    <xf numFmtId="0" fontId="3" fillId="13" borderId="11" xfId="0" applyFont="1" applyFill="1" applyBorder="1">
      <alignment vertical="center"/>
    </xf>
    <xf numFmtId="0" fontId="0" fillId="13" borderId="11" xfId="0" applyFill="1" applyBorder="1" applyAlignment="1"/>
    <xf numFmtId="41" fontId="0" fillId="19" borderId="11" xfId="1" applyFont="1" applyFill="1" applyBorder="1" applyAlignment="1">
      <alignment horizontal="center" vertical="center"/>
    </xf>
    <xf numFmtId="0" fontId="29" fillId="20" borderId="0" xfId="9" applyFont="1" applyFill="1" applyAlignment="1">
      <alignment vertical="center"/>
    </xf>
    <xf numFmtId="0" fontId="30" fillId="20" borderId="0" xfId="9" applyFont="1" applyFill="1" applyAlignment="1">
      <alignment vertical="center"/>
    </xf>
    <xf numFmtId="0" fontId="31" fillId="20" borderId="0" xfId="9" applyFont="1" applyFill="1" applyAlignment="1">
      <alignment vertical="center"/>
    </xf>
    <xf numFmtId="0" fontId="31" fillId="20" borderId="0" xfId="9" applyFont="1" applyFill="1" applyAlignment="1">
      <alignment horizontal="center" vertical="center"/>
    </xf>
    <xf numFmtId="0" fontId="31" fillId="20" borderId="0" xfId="9" applyFont="1" applyFill="1" applyAlignment="1">
      <alignment horizontal="right" vertical="center"/>
    </xf>
    <xf numFmtId="0" fontId="28" fillId="0" borderId="0" xfId="9"/>
    <xf numFmtId="0" fontId="32" fillId="0" borderId="0" xfId="9" applyFont="1" applyAlignment="1">
      <alignment vertical="center"/>
    </xf>
    <xf numFmtId="0" fontId="33" fillId="0" borderId="0" xfId="9" applyFont="1" applyAlignment="1">
      <alignment vertical="center"/>
    </xf>
    <xf numFmtId="0" fontId="34" fillId="0" borderId="0" xfId="9" applyFont="1" applyAlignment="1">
      <alignment vertical="center"/>
    </xf>
    <xf numFmtId="0" fontId="34" fillId="0" borderId="0" xfId="9" applyFont="1" applyAlignment="1">
      <alignment horizontal="center" vertical="center"/>
    </xf>
    <xf numFmtId="0" fontId="34" fillId="0" borderId="0" xfId="9" applyFont="1" applyAlignment="1">
      <alignment horizontal="right" vertical="center"/>
    </xf>
    <xf numFmtId="0" fontId="35" fillId="0" borderId="0" xfId="9" applyFont="1"/>
    <xf numFmtId="0" fontId="36" fillId="0" borderId="0" xfId="9" applyFont="1" applyAlignment="1">
      <alignment vertical="center"/>
    </xf>
    <xf numFmtId="0" fontId="37" fillId="0" borderId="0" xfId="9" applyFont="1"/>
    <xf numFmtId="0" fontId="28" fillId="0" borderId="0" xfId="9" applyAlignment="1">
      <alignment horizontal="center"/>
    </xf>
    <xf numFmtId="0" fontId="35" fillId="0" borderId="0" xfId="9" applyFont="1" applyAlignment="1">
      <alignment horizontal="center"/>
    </xf>
    <xf numFmtId="0" fontId="35" fillId="0" borderId="0" xfId="9" applyFont="1" applyAlignment="1">
      <alignment horizontal="center" vertical="center"/>
    </xf>
    <xf numFmtId="0" fontId="38" fillId="0" borderId="0" xfId="9" applyFont="1" applyAlignment="1">
      <alignment horizontal="left" vertical="center"/>
    </xf>
    <xf numFmtId="0" fontId="32" fillId="0" borderId="0" xfId="9" applyFont="1" applyAlignment="1">
      <alignment horizontal="center" vertical="center"/>
    </xf>
    <xf numFmtId="0" fontId="39" fillId="0" borderId="0" xfId="9" applyFont="1" applyAlignment="1">
      <alignment horizontal="center" vertical="center"/>
    </xf>
    <xf numFmtId="0" fontId="40" fillId="0" borderId="0" xfId="9" applyFont="1" applyAlignment="1">
      <alignment horizontal="center" vertical="center"/>
    </xf>
    <xf numFmtId="0" fontId="40" fillId="0" borderId="0" xfId="9" applyFont="1" applyAlignment="1">
      <alignment vertical="center"/>
    </xf>
    <xf numFmtId="0" fontId="6" fillId="0" borderId="0" xfId="9" applyFont="1" applyAlignment="1">
      <alignment horizontal="left" vertical="center"/>
    </xf>
    <xf numFmtId="0" fontId="6" fillId="0" borderId="0" xfId="9" applyFont="1" applyAlignment="1">
      <alignment vertical="center"/>
    </xf>
    <xf numFmtId="0" fontId="6" fillId="0" borderId="0" xfId="9" applyFont="1" applyAlignment="1">
      <alignment horizontal="center" vertical="center"/>
    </xf>
    <xf numFmtId="30" fontId="6" fillId="0" borderId="0" xfId="9" applyNumberFormat="1" applyFont="1" applyAlignment="1">
      <alignment horizontal="center" vertical="center"/>
    </xf>
    <xf numFmtId="0" fontId="41" fillId="0" borderId="0" xfId="9" applyFont="1" applyAlignment="1">
      <alignment horizontal="center" vertical="center"/>
    </xf>
    <xf numFmtId="0" fontId="41" fillId="0" borderId="0" xfId="9" applyFont="1" applyAlignment="1">
      <alignment vertical="center"/>
    </xf>
    <xf numFmtId="185" fontId="42" fillId="0" borderId="24" xfId="9" applyNumberFormat="1" applyFont="1" applyBorder="1" applyAlignment="1">
      <alignment horizontal="center"/>
    </xf>
    <xf numFmtId="14" fontId="43" fillId="0" borderId="0" xfId="9" applyNumberFormat="1" applyFont="1" applyAlignment="1">
      <alignment horizontal="center" vertical="center"/>
    </xf>
    <xf numFmtId="0" fontId="42" fillId="0" borderId="24" xfId="9" applyFont="1" applyBorder="1" applyAlignment="1">
      <alignment horizontal="center" vertical="center"/>
    </xf>
    <xf numFmtId="0" fontId="43" fillId="0" borderId="0" xfId="9" quotePrefix="1" applyFont="1" applyAlignment="1">
      <alignment horizontal="center" vertical="center"/>
    </xf>
    <xf numFmtId="0" fontId="10" fillId="0" borderId="24" xfId="9" applyFont="1" applyBorder="1" applyAlignment="1">
      <alignment horizontal="left" vertical="center"/>
    </xf>
    <xf numFmtId="0" fontId="6" fillId="0" borderId="24" xfId="9" applyFont="1" applyBorder="1" applyAlignment="1">
      <alignment horizontal="center" vertical="center"/>
    </xf>
    <xf numFmtId="0" fontId="41" fillId="0" borderId="24" xfId="9" applyFont="1" applyBorder="1" applyAlignment="1">
      <alignment vertical="center"/>
    </xf>
    <xf numFmtId="0" fontId="46" fillId="0" borderId="0" xfId="9" applyFont="1" applyAlignment="1">
      <alignment horizontal="left" vertical="center"/>
    </xf>
    <xf numFmtId="0" fontId="48" fillId="0" borderId="0" xfId="9" applyFont="1" applyAlignment="1">
      <alignment vertical="center"/>
    </xf>
    <xf numFmtId="0" fontId="48" fillId="0" borderId="0" xfId="9" applyFont="1" applyAlignment="1">
      <alignment horizontal="center" vertical="center"/>
    </xf>
    <xf numFmtId="0" fontId="28" fillId="0" borderId="0" xfId="9" applyAlignment="1">
      <alignment horizontal="right"/>
    </xf>
    <xf numFmtId="0" fontId="51" fillId="20" borderId="25" xfId="9" applyFont="1" applyFill="1" applyBorder="1" applyAlignment="1">
      <alignment horizontal="center" vertical="center"/>
    </xf>
    <xf numFmtId="0" fontId="52" fillId="0" borderId="26" xfId="9" applyFont="1" applyBorder="1" applyAlignment="1">
      <alignment horizontal="center" vertical="center"/>
    </xf>
    <xf numFmtId="0" fontId="49" fillId="0" borderId="26" xfId="9" applyFont="1" applyBorder="1" applyAlignment="1">
      <alignment horizontal="center" vertical="center"/>
    </xf>
    <xf numFmtId="41" fontId="49" fillId="0" borderId="26" xfId="10" applyFont="1" applyBorder="1" applyAlignment="1">
      <alignment horizontal="center" vertical="center"/>
    </xf>
    <xf numFmtId="41" fontId="49" fillId="0" borderId="26" xfId="10" applyFont="1" applyBorder="1" applyAlignment="1">
      <alignment horizontal="right" vertical="center"/>
    </xf>
    <xf numFmtId="41" fontId="49" fillId="0" borderId="26" xfId="10" applyFont="1" applyFill="1" applyBorder="1" applyAlignment="1">
      <alignment horizontal="center" vertical="center"/>
    </xf>
    <xf numFmtId="0" fontId="52" fillId="7" borderId="26" xfId="9" applyFont="1" applyFill="1" applyBorder="1" applyAlignment="1">
      <alignment horizontal="center" vertical="center"/>
    </xf>
    <xf numFmtId="0" fontId="54" fillId="0" borderId="27" xfId="9" applyFont="1" applyBorder="1" applyAlignment="1">
      <alignment horizontal="center" vertical="center"/>
    </xf>
    <xf numFmtId="0" fontId="56" fillId="0" borderId="0" xfId="9" applyFont="1" applyAlignment="1">
      <alignment horizontal="center" vertical="center"/>
    </xf>
    <xf numFmtId="0" fontId="56" fillId="0" borderId="0" xfId="9" applyFont="1" applyAlignment="1">
      <alignment horizontal="right" vertical="center"/>
    </xf>
    <xf numFmtId="2" fontId="57" fillId="0" borderId="24" xfId="9" applyNumberFormat="1" applyFont="1" applyBorder="1" applyAlignment="1">
      <alignment vertical="center"/>
    </xf>
    <xf numFmtId="0" fontId="58" fillId="0" borderId="0" xfId="9" applyFont="1"/>
    <xf numFmtId="0" fontId="58" fillId="0" borderId="0" xfId="9" applyFont="1" applyAlignment="1">
      <alignment horizontal="center"/>
    </xf>
    <xf numFmtId="0" fontId="59" fillId="0" borderId="28" xfId="9" applyFont="1" applyBorder="1" applyAlignment="1">
      <alignment horizontal="center" vertical="center"/>
    </xf>
    <xf numFmtId="0" fontId="61" fillId="0" borderId="28" xfId="9" applyFont="1" applyBorder="1"/>
    <xf numFmtId="0" fontId="62" fillId="0" borderId="28" xfId="9" applyFont="1" applyBorder="1" applyAlignment="1">
      <alignment horizontal="center" vertical="center"/>
    </xf>
    <xf numFmtId="176" fontId="63" fillId="0" borderId="28" xfId="1" applyNumberFormat="1" applyFont="1" applyBorder="1" applyAlignment="1">
      <alignment vertical="center"/>
    </xf>
    <xf numFmtId="186" fontId="28" fillId="0" borderId="0" xfId="9" applyNumberFormat="1"/>
    <xf numFmtId="187" fontId="64" fillId="0" borderId="0" xfId="9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65" fillId="0" borderId="0" xfId="9" applyFont="1" applyAlignment="1">
      <alignment horizontal="right" vertical="center"/>
    </xf>
    <xf numFmtId="0" fontId="66" fillId="0" borderId="0" xfId="9" applyFont="1" applyAlignment="1">
      <alignment vertical="center"/>
    </xf>
    <xf numFmtId="0" fontId="67" fillId="0" borderId="29" xfId="9" applyFont="1" applyBorder="1" applyAlignment="1">
      <alignment vertical="center"/>
    </xf>
    <xf numFmtId="0" fontId="68" fillId="0" borderId="30" xfId="9" applyFont="1" applyBorder="1" applyAlignment="1">
      <alignment vertical="center"/>
    </xf>
    <xf numFmtId="0" fontId="68" fillId="0" borderId="31" xfId="9" applyFont="1" applyBorder="1" applyAlignment="1">
      <alignment vertical="center"/>
    </xf>
    <xf numFmtId="0" fontId="68" fillId="0" borderId="0" xfId="9" applyFont="1" applyAlignment="1">
      <alignment vertical="center"/>
    </xf>
    <xf numFmtId="0" fontId="68" fillId="0" borderId="33" xfId="9" applyFont="1" applyBorder="1" applyAlignment="1">
      <alignment vertical="center"/>
    </xf>
    <xf numFmtId="0" fontId="68" fillId="0" borderId="35" xfId="9" applyFont="1" applyBorder="1" applyAlignment="1">
      <alignment vertical="center"/>
    </xf>
    <xf numFmtId="0" fontId="68" fillId="0" borderId="36" xfId="9" applyFont="1" applyBorder="1" applyAlignment="1">
      <alignment vertical="center"/>
    </xf>
    <xf numFmtId="0" fontId="69" fillId="0" borderId="0" xfId="9" applyFont="1"/>
    <xf numFmtId="0" fontId="59" fillId="0" borderId="0" xfId="9" applyFont="1" applyAlignment="1">
      <alignment horizontal="right"/>
    </xf>
    <xf numFmtId="2" fontId="57" fillId="0" borderId="0" xfId="9" applyNumberFormat="1" applyFont="1" applyAlignment="1">
      <alignment vertical="center"/>
    </xf>
    <xf numFmtId="0" fontId="70" fillId="0" borderId="0" xfId="9" applyFont="1" applyAlignment="1">
      <alignment horizontal="left" vertical="center"/>
    </xf>
    <xf numFmtId="0" fontId="41" fillId="0" borderId="0" xfId="9" applyFont="1" applyAlignment="1">
      <alignment horizontal="left" vertical="center"/>
    </xf>
    <xf numFmtId="0" fontId="71" fillId="0" borderId="0" xfId="9" applyFont="1" applyAlignment="1">
      <alignment horizontal="center" vertical="center"/>
    </xf>
    <xf numFmtId="0" fontId="71" fillId="0" borderId="0" xfId="9" applyFont="1" applyAlignment="1">
      <alignment horizontal="left" vertical="center"/>
    </xf>
    <xf numFmtId="0" fontId="71" fillId="0" borderId="3" xfId="9" applyFont="1" applyBorder="1" applyAlignment="1">
      <alignment vertical="center" wrapText="1"/>
    </xf>
    <xf numFmtId="0" fontId="71" fillId="0" borderId="0" xfId="9" applyFont="1" applyAlignment="1">
      <alignment vertical="center" wrapText="1"/>
    </xf>
    <xf numFmtId="0" fontId="72" fillId="0" borderId="0" xfId="9" applyFont="1" applyAlignment="1">
      <alignment horizontal="left" vertical="top"/>
    </xf>
    <xf numFmtId="0" fontId="71" fillId="0" borderId="0" xfId="9" applyFont="1" applyAlignment="1">
      <alignment vertical="center"/>
    </xf>
    <xf numFmtId="0" fontId="75" fillId="0" borderId="0" xfId="9" applyFont="1"/>
    <xf numFmtId="0" fontId="71" fillId="0" borderId="0" xfId="9" applyFont="1"/>
    <xf numFmtId="0" fontId="71" fillId="0" borderId="0" xfId="9" applyFont="1" applyAlignment="1">
      <alignment horizontal="center"/>
    </xf>
    <xf numFmtId="0" fontId="76" fillId="0" borderId="0" xfId="9" applyFont="1" applyAlignment="1">
      <alignment vertical="center"/>
    </xf>
    <xf numFmtId="0" fontId="80" fillId="0" borderId="0" xfId="9" applyFont="1"/>
    <xf numFmtId="0" fontId="80" fillId="0" borderId="21" xfId="9" applyFont="1" applyBorder="1"/>
    <xf numFmtId="0" fontId="35" fillId="20" borderId="0" xfId="9" applyFont="1" applyFill="1"/>
    <xf numFmtId="0" fontId="35" fillId="20" borderId="0" xfId="9" applyFont="1" applyFill="1" applyAlignment="1">
      <alignment horizontal="center"/>
    </xf>
    <xf numFmtId="0" fontId="41" fillId="0" borderId="0" xfId="9" applyFont="1" applyAlignment="1">
      <alignment horizontal="left"/>
    </xf>
    <xf numFmtId="0" fontId="41" fillId="0" borderId="0" xfId="9" applyFont="1"/>
    <xf numFmtId="0" fontId="67" fillId="0" borderId="32" xfId="9" applyFont="1" applyBorder="1" applyAlignment="1">
      <alignment horizontal="left" vertical="center"/>
    </xf>
    <xf numFmtId="0" fontId="67" fillId="0" borderId="32" xfId="9" applyFont="1" applyBorder="1" applyAlignment="1">
      <alignment vertical="center"/>
    </xf>
    <xf numFmtId="41" fontId="49" fillId="0" borderId="26" xfId="10" applyFont="1" applyFill="1" applyBorder="1" applyAlignment="1">
      <alignment horizontal="right" vertical="center"/>
    </xf>
    <xf numFmtId="41" fontId="82" fillId="0" borderId="26" xfId="10" applyFont="1" applyFill="1" applyBorder="1" applyAlignment="1">
      <alignment horizontal="right" vertical="center"/>
    </xf>
    <xf numFmtId="41" fontId="49" fillId="21" borderId="26" xfId="10" applyFont="1" applyFill="1" applyBorder="1" applyAlignment="1">
      <alignment horizontal="right" vertical="center"/>
    </xf>
    <xf numFmtId="0" fontId="82" fillId="0" borderId="26" xfId="9" applyFont="1" applyBorder="1" applyAlignment="1">
      <alignment vertical="center"/>
    </xf>
    <xf numFmtId="41" fontId="49" fillId="0" borderId="26" xfId="1" applyFont="1" applyBorder="1" applyAlignment="1">
      <alignment horizontal="right" vertical="center"/>
    </xf>
    <xf numFmtId="0" fontId="82" fillId="0" borderId="26" xfId="9" applyFont="1" applyBorder="1" applyAlignment="1">
      <alignment horizontal="center" vertical="center"/>
    </xf>
    <xf numFmtId="0" fontId="49" fillId="0" borderId="26" xfId="10" applyNumberFormat="1" applyFont="1" applyBorder="1" applyAlignment="1">
      <alignment horizontal="right" vertical="center"/>
    </xf>
    <xf numFmtId="1" fontId="49" fillId="0" borderId="26" xfId="10" applyNumberFormat="1" applyFont="1" applyBorder="1" applyAlignment="1">
      <alignment horizontal="right" vertical="center"/>
    </xf>
    <xf numFmtId="0" fontId="83" fillId="0" borderId="27" xfId="9" applyFont="1" applyBorder="1" applyAlignment="1">
      <alignment vertical="center"/>
    </xf>
    <xf numFmtId="0" fontId="48" fillId="0" borderId="27" xfId="9" applyFont="1" applyBorder="1" applyAlignment="1">
      <alignment horizontal="center" vertical="center"/>
    </xf>
    <xf numFmtId="41" fontId="48" fillId="0" borderId="27" xfId="10" applyFont="1" applyFill="1" applyBorder="1" applyAlignment="1">
      <alignment horizontal="center" vertical="center"/>
    </xf>
    <xf numFmtId="41" fontId="48" fillId="0" borderId="27" xfId="10" applyFont="1" applyFill="1" applyBorder="1" applyAlignment="1">
      <alignment horizontal="right" vertical="center"/>
    </xf>
    <xf numFmtId="0" fontId="84" fillId="0" borderId="0" xfId="9" applyFont="1"/>
    <xf numFmtId="41" fontId="0" fillId="14" borderId="0" xfId="0" applyNumberFormat="1" applyFill="1" applyAlignment="1">
      <alignment horizontal="center" vertical="center"/>
    </xf>
    <xf numFmtId="0" fontId="28" fillId="0" borderId="0" xfId="9" applyAlignment="1">
      <alignment horizontal="center" vertical="center"/>
    </xf>
    <xf numFmtId="0" fontId="0" fillId="0" borderId="37" xfId="0" applyBorder="1" applyAlignment="1"/>
    <xf numFmtId="0" fontId="0" fillId="0" borderId="38" xfId="0" applyBorder="1" applyAlignment="1"/>
    <xf numFmtId="0" fontId="0" fillId="0" borderId="18" xfId="0" applyBorder="1" applyAlignment="1"/>
    <xf numFmtId="41" fontId="0" fillId="0" borderId="0" xfId="1" applyFont="1" applyFill="1" applyBorder="1" applyAlignment="1"/>
    <xf numFmtId="0" fontId="28" fillId="0" borderId="0" xfId="9" applyAlignment="1">
      <alignment vertical="center"/>
    </xf>
    <xf numFmtId="0" fontId="18" fillId="12" borderId="11" xfId="0" applyFont="1" applyFill="1" applyBorder="1" applyAlignment="1">
      <alignment horizontal="center" vertical="center"/>
    </xf>
    <xf numFmtId="0" fontId="85" fillId="21" borderId="26" xfId="9" applyFont="1" applyFill="1" applyBorder="1" applyAlignment="1">
      <alignment vertical="center"/>
    </xf>
    <xf numFmtId="0" fontId="53" fillId="21" borderId="26" xfId="9" applyFont="1" applyFill="1" applyBorder="1" applyAlignment="1">
      <alignment horizontal="center" vertical="center"/>
    </xf>
    <xf numFmtId="41" fontId="47" fillId="21" borderId="26" xfId="10" applyFont="1" applyFill="1" applyBorder="1" applyAlignment="1">
      <alignment horizontal="center" vertical="center"/>
    </xf>
    <xf numFmtId="41" fontId="53" fillId="21" borderId="26" xfId="10" applyFont="1" applyFill="1" applyBorder="1" applyAlignment="1">
      <alignment horizontal="right" vertical="center"/>
    </xf>
    <xf numFmtId="0" fontId="0" fillId="0" borderId="40" xfId="0" applyBorder="1">
      <alignment vertical="center"/>
    </xf>
    <xf numFmtId="0" fontId="0" fillId="0" borderId="39" xfId="0" applyBorder="1" applyAlignment="1">
      <alignment horizontal="center" vertical="center"/>
    </xf>
    <xf numFmtId="41" fontId="0" fillId="16" borderId="40" xfId="0" applyNumberFormat="1" applyFill="1" applyBorder="1">
      <alignment vertical="center"/>
    </xf>
    <xf numFmtId="41" fontId="0" fillId="16" borderId="41" xfId="0" applyNumberFormat="1" applyFill="1" applyBorder="1">
      <alignment vertical="center"/>
    </xf>
    <xf numFmtId="0" fontId="15" fillId="11" borderId="42" xfId="0" applyFont="1" applyFill="1" applyBorder="1">
      <alignment vertical="center"/>
    </xf>
    <xf numFmtId="0" fontId="0" fillId="12" borderId="42" xfId="0" applyFill="1" applyBorder="1">
      <alignment vertical="center"/>
    </xf>
    <xf numFmtId="0" fontId="0" fillId="0" borderId="42" xfId="0" applyBorder="1">
      <alignment vertical="center"/>
    </xf>
    <xf numFmtId="0" fontId="0" fillId="0" borderId="11" xfId="0" applyBorder="1" applyAlignment="1">
      <alignment horizontal="center" vertical="top"/>
    </xf>
    <xf numFmtId="43" fontId="0" fillId="13" borderId="11" xfId="1" applyNumberFormat="1" applyFont="1" applyFill="1" applyBorder="1" applyAlignment="1"/>
    <xf numFmtId="0" fontId="0" fillId="0" borderId="11" xfId="0" applyBorder="1" applyAlignment="1">
      <alignment vertical="top"/>
    </xf>
    <xf numFmtId="41" fontId="0" fillId="0" borderId="11" xfId="1" applyFont="1" applyFill="1" applyBorder="1">
      <alignment vertical="center"/>
    </xf>
    <xf numFmtId="0" fontId="18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80" fillId="0" borderId="0" xfId="0" applyFont="1">
      <alignment vertical="center"/>
    </xf>
    <xf numFmtId="43" fontId="0" fillId="5" borderId="11" xfId="1" applyNumberFormat="1" applyFont="1" applyFill="1" applyBorder="1" applyAlignment="1"/>
    <xf numFmtId="0" fontId="0" fillId="5" borderId="43" xfId="0" applyFill="1" applyBorder="1" applyAlignment="1"/>
    <xf numFmtId="0" fontId="3" fillId="5" borderId="22" xfId="0" applyFont="1" applyFill="1" applyBorder="1" applyAlignment="1"/>
    <xf numFmtId="43" fontId="0" fillId="0" borderId="11" xfId="1" applyNumberFormat="1" applyFont="1" applyFill="1" applyBorder="1" applyAlignment="1"/>
    <xf numFmtId="0" fontId="0" fillId="5" borderId="22" xfId="0" applyFill="1" applyBorder="1" applyAlignment="1">
      <alignment horizontal="center"/>
    </xf>
    <xf numFmtId="0" fontId="0" fillId="5" borderId="44" xfId="0" applyFill="1" applyBorder="1" applyAlignment="1"/>
    <xf numFmtId="0" fontId="3" fillId="5" borderId="44" xfId="0" applyFont="1" applyFill="1" applyBorder="1" applyAlignment="1" applyProtection="1">
      <protection locked="0"/>
    </xf>
    <xf numFmtId="0" fontId="0" fillId="5" borderId="44" xfId="0" applyFill="1" applyBorder="1" applyAlignment="1">
      <alignment wrapText="1"/>
    </xf>
    <xf numFmtId="0" fontId="0" fillId="5" borderId="44" xfId="0" applyFill="1" applyBorder="1" applyAlignment="1" applyProtection="1">
      <protection locked="0"/>
    </xf>
    <xf numFmtId="41" fontId="0" fillId="0" borderId="0" xfId="0" applyNumberFormat="1" applyAlignment="1"/>
    <xf numFmtId="0" fontId="0" fillId="15" borderId="2" xfId="0" applyFill="1" applyBorder="1" applyAlignment="1">
      <alignment horizontal="center"/>
    </xf>
    <xf numFmtId="0" fontId="3" fillId="15" borderId="1" xfId="0" applyFont="1" applyFill="1" applyBorder="1" applyAlignment="1"/>
    <xf numFmtId="0" fontId="0" fillId="15" borderId="2" xfId="0" applyFill="1" applyBorder="1" applyAlignment="1"/>
    <xf numFmtId="0" fontId="0" fillId="15" borderId="2" xfId="0" applyFill="1" applyBorder="1" applyAlignment="1" applyProtection="1">
      <protection locked="0"/>
    </xf>
    <xf numFmtId="0" fontId="0" fillId="15" borderId="2" xfId="0" applyFill="1" applyBorder="1" applyAlignment="1">
      <alignment wrapText="1"/>
    </xf>
    <xf numFmtId="0" fontId="6" fillId="15" borderId="1" xfId="0" applyFont="1" applyFill="1" applyBorder="1" applyAlignment="1"/>
    <xf numFmtId="0" fontId="3" fillId="5" borderId="44" xfId="0" applyFont="1" applyFill="1" applyBorder="1" applyAlignment="1" applyProtection="1">
      <alignment horizontal="right"/>
      <protection locked="0"/>
    </xf>
    <xf numFmtId="0" fontId="3" fillId="15" borderId="2" xfId="0" applyFont="1" applyFill="1" applyBorder="1" applyAlignment="1" applyProtection="1">
      <alignment horizontal="right" vertical="center"/>
      <protection locked="0"/>
    </xf>
    <xf numFmtId="41" fontId="49" fillId="0" borderId="26" xfId="9" applyNumberFormat="1" applyFont="1" applyBorder="1" applyAlignment="1">
      <alignment horizontal="center" vertical="center"/>
    </xf>
    <xf numFmtId="0" fontId="80" fillId="8" borderId="0" xfId="0" applyFont="1" applyFill="1">
      <alignment vertical="center"/>
    </xf>
    <xf numFmtId="41" fontId="0" fillId="0" borderId="11" xfId="0" applyNumberFormat="1" applyBorder="1">
      <alignment vertical="center"/>
    </xf>
    <xf numFmtId="0" fontId="0" fillId="0" borderId="45" xfId="0" applyBorder="1" applyAlignment="1"/>
    <xf numFmtId="0" fontId="80" fillId="0" borderId="22" xfId="0" applyFont="1" applyBorder="1">
      <alignment vertical="center"/>
    </xf>
    <xf numFmtId="0" fontId="0" fillId="0" borderId="44" xfId="0" applyBorder="1">
      <alignment vertical="center"/>
    </xf>
    <xf numFmtId="0" fontId="80" fillId="0" borderId="43" xfId="0" applyFont="1" applyBorder="1">
      <alignment vertical="center"/>
    </xf>
    <xf numFmtId="0" fontId="20" fillId="22" borderId="0" xfId="0" applyFont="1" applyFill="1">
      <alignment vertical="center"/>
    </xf>
    <xf numFmtId="0" fontId="0" fillId="22" borderId="0" xfId="0" applyFill="1">
      <alignment vertical="center"/>
    </xf>
    <xf numFmtId="0" fontId="0" fillId="13" borderId="2" xfId="0" applyFill="1" applyBorder="1" applyAlignment="1"/>
    <xf numFmtId="0" fontId="86" fillId="23" borderId="11" xfId="0" applyFont="1" applyFill="1" applyBorder="1" applyAlignment="1"/>
    <xf numFmtId="0" fontId="86" fillId="23" borderId="22" xfId="0" applyFont="1" applyFill="1" applyBorder="1" applyAlignment="1"/>
    <xf numFmtId="41" fontId="86" fillId="0" borderId="11" xfId="1" applyFont="1" applyFill="1" applyBorder="1" applyAlignment="1"/>
    <xf numFmtId="0" fontId="86" fillId="0" borderId="19" xfId="0" applyFont="1" applyBorder="1" applyAlignment="1"/>
    <xf numFmtId="0" fontId="86" fillId="24" borderId="11" xfId="0" applyFont="1" applyFill="1" applyBorder="1" applyAlignment="1"/>
    <xf numFmtId="0" fontId="86" fillId="24" borderId="11" xfId="0" applyFont="1" applyFill="1" applyBorder="1" applyAlignment="1">
      <alignment horizontal="center"/>
    </xf>
    <xf numFmtId="0" fontId="88" fillId="24" borderId="11" xfId="0" applyFont="1" applyFill="1" applyBorder="1" applyAlignment="1"/>
    <xf numFmtId="0" fontId="89" fillId="24" borderId="11" xfId="0" applyFont="1" applyFill="1" applyBorder="1" applyAlignment="1"/>
    <xf numFmtId="0" fontId="86" fillId="24" borderId="22" xfId="0" applyFont="1" applyFill="1" applyBorder="1" applyAlignment="1"/>
    <xf numFmtId="41" fontId="86" fillId="24" borderId="11" xfId="1" applyFont="1" applyFill="1" applyBorder="1" applyAlignment="1"/>
    <xf numFmtId="41" fontId="86" fillId="0" borderId="19" xfId="1" applyFont="1" applyFill="1" applyBorder="1" applyAlignment="1"/>
    <xf numFmtId="0" fontId="90" fillId="24" borderId="11" xfId="0" applyFont="1" applyFill="1" applyBorder="1" applyAlignment="1"/>
    <xf numFmtId="0" fontId="86" fillId="25" borderId="11" xfId="0" applyFont="1" applyFill="1" applyBorder="1" applyAlignment="1"/>
    <xf numFmtId="0" fontId="90" fillId="25" borderId="11" xfId="0" applyFont="1" applyFill="1" applyBorder="1" applyAlignment="1"/>
    <xf numFmtId="0" fontId="88" fillId="25" borderId="11" xfId="0" applyFont="1" applyFill="1" applyBorder="1" applyAlignment="1"/>
    <xf numFmtId="0" fontId="86" fillId="25" borderId="22" xfId="0" applyFont="1" applyFill="1" applyBorder="1" applyAlignment="1"/>
    <xf numFmtId="41" fontId="86" fillId="25" borderId="11" xfId="1" applyFont="1" applyFill="1" applyBorder="1" applyAlignment="1"/>
    <xf numFmtId="0" fontId="90" fillId="26" borderId="11" xfId="0" applyFont="1" applyFill="1" applyBorder="1" applyAlignment="1"/>
    <xf numFmtId="0" fontId="86" fillId="26" borderId="11" xfId="0" applyFont="1" applyFill="1" applyBorder="1" applyAlignment="1"/>
    <xf numFmtId="0" fontId="86" fillId="24" borderId="11" xfId="0" applyFont="1" applyFill="1" applyBorder="1" applyAlignment="1" applyProtection="1">
      <alignment horizontal="right" vertical="center"/>
      <protection locked="0"/>
    </xf>
    <xf numFmtId="0" fontId="86" fillId="24" borderId="11" xfId="0" applyFont="1" applyFill="1" applyBorder="1" applyAlignment="1" applyProtection="1">
      <protection locked="0"/>
    </xf>
    <xf numFmtId="0" fontId="86" fillId="24" borderId="11" xfId="0" applyFont="1" applyFill="1" applyBorder="1" applyAlignment="1">
      <alignment wrapText="1"/>
    </xf>
    <xf numFmtId="177" fontId="86" fillId="24" borderId="11" xfId="0" applyNumberFormat="1" applyFont="1" applyFill="1" applyBorder="1" applyAlignment="1"/>
    <xf numFmtId="0" fontId="88" fillId="24" borderId="11" xfId="0" applyFont="1" applyFill="1" applyBorder="1" applyAlignment="1" applyProtection="1">
      <protection locked="0"/>
    </xf>
    <xf numFmtId="0" fontId="86" fillId="24" borderId="0" xfId="0" applyFont="1" applyFill="1">
      <alignment vertical="center"/>
    </xf>
    <xf numFmtId="0" fontId="90" fillId="24" borderId="11" xfId="0" applyFont="1" applyFill="1" applyBorder="1" applyAlignment="1" applyProtection="1">
      <protection locked="0"/>
    </xf>
    <xf numFmtId="0" fontId="86" fillId="27" borderId="19" xfId="0" applyFont="1" applyFill="1" applyBorder="1" applyAlignment="1"/>
    <xf numFmtId="0" fontId="86" fillId="0" borderId="0" xfId="0" applyFont="1" applyAlignment="1"/>
    <xf numFmtId="0" fontId="86" fillId="0" borderId="11" xfId="0" applyFont="1" applyBorder="1" applyAlignment="1"/>
    <xf numFmtId="0" fontId="86" fillId="0" borderId="11" xfId="0" applyFont="1" applyBorder="1" applyAlignment="1">
      <alignment horizontal="center"/>
    </xf>
    <xf numFmtId="0" fontId="89" fillId="0" borderId="11" xfId="0" applyFont="1" applyBorder="1" applyAlignment="1"/>
    <xf numFmtId="0" fontId="86" fillId="0" borderId="11" xfId="0" applyFont="1" applyBorder="1" applyAlignment="1" applyProtection="1">
      <protection locked="0"/>
    </xf>
    <xf numFmtId="0" fontId="86" fillId="0" borderId="11" xfId="0" applyFont="1" applyBorder="1" applyAlignment="1">
      <alignment wrapText="1"/>
    </xf>
    <xf numFmtId="177" fontId="86" fillId="0" borderId="11" xfId="0" applyNumberFormat="1" applyFont="1" applyBorder="1" applyAlignment="1"/>
    <xf numFmtId="177" fontId="86" fillId="0" borderId="11" xfId="0" applyNumberFormat="1" applyFont="1" applyBorder="1" applyAlignment="1">
      <alignment horizontal="right"/>
    </xf>
    <xf numFmtId="0" fontId="86" fillId="0" borderId="22" xfId="0" applyFont="1" applyBorder="1" applyAlignment="1"/>
    <xf numFmtId="1" fontId="88" fillId="0" borderId="11" xfId="0" applyNumberFormat="1" applyFont="1" applyBorder="1" applyAlignment="1" applyProtection="1">
      <alignment horizontal="center" vertical="center"/>
      <protection locked="0"/>
    </xf>
    <xf numFmtId="0" fontId="88" fillId="0" borderId="11" xfId="0" applyFont="1" applyBorder="1" applyAlignment="1" applyProtection="1">
      <protection locked="0"/>
    </xf>
    <xf numFmtId="0" fontId="86" fillId="28" borderId="11" xfId="0" applyFont="1" applyFill="1" applyBorder="1" applyAlignment="1"/>
    <xf numFmtId="0" fontId="86" fillId="28" borderId="11" xfId="0" applyFont="1" applyFill="1" applyBorder="1" applyAlignment="1">
      <alignment horizontal="center"/>
    </xf>
    <xf numFmtId="0" fontId="89" fillId="28" borderId="11" xfId="0" applyFont="1" applyFill="1" applyBorder="1" applyAlignment="1"/>
    <xf numFmtId="0" fontId="86" fillId="28" borderId="11" xfId="0" applyFont="1" applyFill="1" applyBorder="1" applyAlignment="1" applyProtection="1">
      <protection locked="0"/>
    </xf>
    <xf numFmtId="0" fontId="86" fillId="28" borderId="11" xfId="0" applyFont="1" applyFill="1" applyBorder="1" applyAlignment="1">
      <alignment wrapText="1"/>
    </xf>
    <xf numFmtId="177" fontId="86" fillId="28" borderId="11" xfId="0" applyNumberFormat="1" applyFont="1" applyFill="1" applyBorder="1" applyAlignment="1"/>
    <xf numFmtId="177" fontId="86" fillId="28" borderId="11" xfId="0" applyNumberFormat="1" applyFont="1" applyFill="1" applyBorder="1" applyAlignment="1">
      <alignment horizontal="right"/>
    </xf>
    <xf numFmtId="0" fontId="86" fillId="28" borderId="22" xfId="0" applyFont="1" applyFill="1" applyBorder="1" applyAlignment="1"/>
    <xf numFmtId="41" fontId="86" fillId="28" borderId="11" xfId="1" applyFont="1" applyFill="1" applyBorder="1" applyAlignment="1"/>
    <xf numFmtId="0" fontId="86" fillId="25" borderId="11" xfId="0" applyFont="1" applyFill="1" applyBorder="1" applyAlignment="1">
      <alignment horizontal="center"/>
    </xf>
    <xf numFmtId="0" fontId="86" fillId="25" borderId="11" xfId="0" applyFont="1" applyFill="1" applyBorder="1" applyAlignment="1" applyProtection="1">
      <protection locked="0"/>
    </xf>
    <xf numFmtId="0" fontId="86" fillId="25" borderId="11" xfId="0" applyFont="1" applyFill="1" applyBorder="1" applyAlignment="1">
      <alignment wrapText="1"/>
    </xf>
    <xf numFmtId="177" fontId="86" fillId="25" borderId="11" xfId="0" applyNumberFormat="1" applyFont="1" applyFill="1" applyBorder="1" applyAlignment="1"/>
    <xf numFmtId="177" fontId="86" fillId="25" borderId="11" xfId="0" applyNumberFormat="1" applyFont="1" applyFill="1" applyBorder="1" applyAlignment="1">
      <alignment horizontal="right"/>
    </xf>
    <xf numFmtId="0" fontId="88" fillId="28" borderId="11" xfId="0" applyFont="1" applyFill="1" applyBorder="1" applyAlignment="1" applyProtection="1">
      <protection locked="0"/>
    </xf>
    <xf numFmtId="0" fontId="86" fillId="29" borderId="11" xfId="0" applyFont="1" applyFill="1" applyBorder="1" applyAlignment="1"/>
    <xf numFmtId="41" fontId="86" fillId="29" borderId="11" xfId="1" applyFont="1" applyFill="1" applyBorder="1" applyAlignment="1"/>
    <xf numFmtId="0" fontId="86" fillId="29" borderId="11" xfId="0" applyFont="1" applyFill="1" applyBorder="1" applyAlignment="1">
      <alignment horizontal="center"/>
    </xf>
    <xf numFmtId="0" fontId="88" fillId="29" borderId="11" xfId="0" applyFont="1" applyFill="1" applyBorder="1" applyAlignment="1" applyProtection="1">
      <protection locked="0"/>
    </xf>
    <xf numFmtId="0" fontId="86" fillId="29" borderId="11" xfId="0" applyFont="1" applyFill="1" applyBorder="1" applyAlignment="1" applyProtection="1">
      <protection locked="0"/>
    </xf>
    <xf numFmtId="0" fontId="86" fillId="29" borderId="11" xfId="0" applyFont="1" applyFill="1" applyBorder="1" applyAlignment="1">
      <alignment wrapText="1"/>
    </xf>
    <xf numFmtId="177" fontId="86" fillId="29" borderId="11" xfId="0" applyNumberFormat="1" applyFont="1" applyFill="1" applyBorder="1" applyAlignment="1"/>
    <xf numFmtId="177" fontId="86" fillId="29" borderId="11" xfId="0" applyNumberFormat="1" applyFont="1" applyFill="1" applyBorder="1" applyAlignment="1">
      <alignment horizontal="right"/>
    </xf>
    <xf numFmtId="0" fontId="86" fillId="29" borderId="22" xfId="0" applyFont="1" applyFill="1" applyBorder="1" applyAlignment="1"/>
    <xf numFmtId="0" fontId="86" fillId="0" borderId="2" xfId="0" applyFont="1" applyBorder="1" applyAlignment="1"/>
    <xf numFmtId="0" fontId="86" fillId="30" borderId="11" xfId="0" applyFont="1" applyFill="1" applyBorder="1" applyAlignment="1"/>
    <xf numFmtId="0" fontId="86" fillId="30" borderId="11" xfId="0" applyFont="1" applyFill="1" applyBorder="1" applyAlignment="1">
      <alignment horizontal="center"/>
    </xf>
    <xf numFmtId="0" fontId="89" fillId="30" borderId="11" xfId="0" applyFont="1" applyFill="1" applyBorder="1" applyAlignment="1"/>
    <xf numFmtId="0" fontId="86" fillId="30" borderId="11" xfId="0" applyFont="1" applyFill="1" applyBorder="1" applyAlignment="1" applyProtection="1">
      <protection locked="0"/>
    </xf>
    <xf numFmtId="0" fontId="86" fillId="30" borderId="11" xfId="0" applyFont="1" applyFill="1" applyBorder="1" applyAlignment="1">
      <alignment wrapText="1"/>
    </xf>
    <xf numFmtId="177" fontId="86" fillId="30" borderId="11" xfId="0" applyNumberFormat="1" applyFont="1" applyFill="1" applyBorder="1" applyAlignment="1"/>
    <xf numFmtId="177" fontId="86" fillId="30" borderId="11" xfId="0" applyNumberFormat="1" applyFont="1" applyFill="1" applyBorder="1" applyAlignment="1">
      <alignment horizontal="right"/>
    </xf>
    <xf numFmtId="0" fontId="86" fillId="30" borderId="22" xfId="0" applyFont="1" applyFill="1" applyBorder="1" applyAlignment="1"/>
    <xf numFmtId="41" fontId="86" fillId="30" borderId="11" xfId="1" applyFont="1" applyFill="1" applyBorder="1" applyAlignment="1"/>
    <xf numFmtId="0" fontId="86" fillId="26" borderId="11" xfId="0" applyFont="1" applyFill="1" applyBorder="1" applyAlignment="1" applyProtection="1">
      <protection locked="0"/>
    </xf>
    <xf numFmtId="0" fontId="86" fillId="0" borderId="11" xfId="0" applyFont="1" applyBorder="1">
      <alignment vertical="center"/>
    </xf>
    <xf numFmtId="0" fontId="90" fillId="0" borderId="11" xfId="0" applyFont="1" applyBorder="1" applyAlignment="1"/>
    <xf numFmtId="1" fontId="88" fillId="0" borderId="11" xfId="0" applyNumberFormat="1" applyFont="1" applyBorder="1">
      <alignment vertical="center"/>
    </xf>
    <xf numFmtId="0" fontId="86" fillId="0" borderId="22" xfId="0" applyFont="1" applyBorder="1">
      <alignment vertical="center"/>
    </xf>
    <xf numFmtId="0" fontId="86" fillId="0" borderId="0" xfId="0" applyFont="1">
      <alignment vertical="center"/>
    </xf>
    <xf numFmtId="0" fontId="86" fillId="31" borderId="11" xfId="0" applyFont="1" applyFill="1" applyBorder="1" applyAlignment="1"/>
    <xf numFmtId="0" fontId="86" fillId="31" borderId="11" xfId="0" applyFont="1" applyFill="1" applyBorder="1" applyAlignment="1" applyProtection="1">
      <protection locked="0"/>
    </xf>
    <xf numFmtId="0" fontId="86" fillId="26" borderId="0" xfId="0" applyFont="1" applyFill="1">
      <alignment vertical="center"/>
    </xf>
    <xf numFmtId="0" fontId="86" fillId="0" borderId="12" xfId="0" applyFont="1" applyBorder="1" applyAlignment="1"/>
    <xf numFmtId="0" fontId="86" fillId="0" borderId="13" xfId="0" applyFont="1" applyBorder="1" applyAlignment="1"/>
    <xf numFmtId="0" fontId="86" fillId="0" borderId="0" xfId="0" applyFont="1" applyAlignment="1" applyProtection="1">
      <protection locked="0"/>
    </xf>
    <xf numFmtId="41" fontId="86" fillId="0" borderId="23" xfId="1" applyFont="1" applyFill="1" applyBorder="1" applyAlignment="1"/>
    <xf numFmtId="0" fontId="86" fillId="25" borderId="11" xfId="0" applyFont="1" applyFill="1" applyBorder="1">
      <alignment vertical="center"/>
    </xf>
    <xf numFmtId="0" fontId="86" fillId="25" borderId="11" xfId="0" applyFont="1" applyFill="1" applyBorder="1" applyAlignment="1">
      <alignment horizontal="center" vertical="center"/>
    </xf>
    <xf numFmtId="0" fontId="86" fillId="32" borderId="11" xfId="0" applyFont="1" applyFill="1" applyBorder="1">
      <alignment vertical="center"/>
    </xf>
    <xf numFmtId="0" fontId="88" fillId="25" borderId="11" xfId="0" applyFont="1" applyFill="1" applyBorder="1">
      <alignment vertical="center"/>
    </xf>
    <xf numFmtId="43" fontId="86" fillId="25" borderId="11" xfId="1" applyNumberFormat="1" applyFont="1" applyFill="1" applyBorder="1" applyAlignment="1"/>
    <xf numFmtId="0" fontId="86" fillId="0" borderId="11" xfId="0" applyFont="1" applyBorder="1" applyAlignment="1">
      <alignment horizontal="center" vertical="center"/>
    </xf>
    <xf numFmtId="0" fontId="86" fillId="0" borderId="11" xfId="0" applyFont="1" applyBorder="1" applyAlignment="1">
      <alignment vertical="top"/>
    </xf>
    <xf numFmtId="0" fontId="0" fillId="18" borderId="4" xfId="0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18" borderId="6" xfId="0" applyFill="1" applyBorder="1">
      <alignment vertical="center"/>
    </xf>
    <xf numFmtId="0" fontId="0" fillId="3" borderId="0" xfId="0" applyFill="1" applyAlignment="1">
      <alignment horizontal="center" vertical="center"/>
    </xf>
    <xf numFmtId="0" fontId="0" fillId="18" borderId="9" xfId="0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8" borderId="21" xfId="0" applyFill="1" applyBorder="1">
      <alignment vertical="center"/>
    </xf>
    <xf numFmtId="0" fontId="0" fillId="18" borderId="7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0" fontId="0" fillId="18" borderId="8" xfId="0" applyFill="1" applyBorder="1">
      <alignment vertical="center"/>
    </xf>
    <xf numFmtId="0" fontId="0" fillId="3" borderId="3" xfId="0" applyFill="1" applyBorder="1" applyAlignment="1">
      <alignment horizontal="center" vertical="center"/>
    </xf>
    <xf numFmtId="0" fontId="80" fillId="26" borderId="0" xfId="0" applyFont="1" applyFill="1" applyAlignment="1">
      <alignment horizontal="center" vertical="center"/>
    </xf>
    <xf numFmtId="0" fontId="88" fillId="24" borderId="11" xfId="0" applyFont="1" applyFill="1" applyBorder="1" applyAlignment="1">
      <alignment horizontal="center"/>
    </xf>
    <xf numFmtId="0" fontId="90" fillId="26" borderId="11" xfId="0" applyFont="1" applyFill="1" applyBorder="1" applyAlignment="1">
      <alignment horizontal="center"/>
    </xf>
    <xf numFmtId="0" fontId="80" fillId="24" borderId="0" xfId="0" applyFont="1" applyFill="1" applyAlignment="1">
      <alignment horizontal="center" vertical="center"/>
    </xf>
    <xf numFmtId="0" fontId="88" fillId="28" borderId="11" xfId="0" applyFont="1" applyFill="1" applyBorder="1" applyAlignment="1">
      <alignment horizontal="center"/>
    </xf>
    <xf numFmtId="0" fontId="91" fillId="24" borderId="11" xfId="0" applyFont="1" applyFill="1" applyBorder="1" applyAlignment="1">
      <alignment horizontal="center" vertical="center"/>
    </xf>
    <xf numFmtId="0" fontId="88" fillId="0" borderId="11" xfId="0" applyFont="1" applyBorder="1" applyAlignment="1">
      <alignment horizontal="center"/>
    </xf>
    <xf numFmtId="0" fontId="80" fillId="0" borderId="0" xfId="0" applyFont="1" applyAlignment="1">
      <alignment horizontal="center" vertical="center"/>
    </xf>
    <xf numFmtId="0" fontId="90" fillId="24" borderId="11" xfId="0" applyFont="1" applyFill="1" applyBorder="1" applyAlignment="1">
      <alignment horizontal="center"/>
    </xf>
    <xf numFmtId="0" fontId="86" fillId="31" borderId="11" xfId="0" applyFont="1" applyFill="1" applyBorder="1" applyAlignment="1">
      <alignment horizontal="center"/>
    </xf>
    <xf numFmtId="0" fontId="88" fillId="29" borderId="11" xfId="0" applyFont="1" applyFill="1" applyBorder="1" applyAlignment="1">
      <alignment horizontal="center"/>
    </xf>
    <xf numFmtId="0" fontId="88" fillId="30" borderId="11" xfId="0" applyFont="1" applyFill="1" applyBorder="1" applyAlignment="1">
      <alignment horizontal="center"/>
    </xf>
    <xf numFmtId="0" fontId="86" fillId="0" borderId="12" xfId="0" applyFont="1" applyBorder="1" applyAlignment="1">
      <alignment horizontal="center"/>
    </xf>
    <xf numFmtId="0" fontId="86" fillId="24" borderId="0" xfId="0" applyFont="1" applyFill="1" applyAlignment="1"/>
    <xf numFmtId="43" fontId="86" fillId="24" borderId="11" xfId="1" applyNumberFormat="1" applyFont="1" applyFill="1" applyBorder="1" applyAlignment="1"/>
    <xf numFmtId="41" fontId="86" fillId="27" borderId="19" xfId="1" applyFont="1" applyFill="1" applyBorder="1" applyAlignment="1"/>
    <xf numFmtId="41" fontId="10" fillId="0" borderId="0" xfId="1" applyFont="1">
      <alignment vertical="center"/>
    </xf>
    <xf numFmtId="43" fontId="49" fillId="21" borderId="26" xfId="1" applyNumberFormat="1" applyFont="1" applyFill="1" applyBorder="1" applyAlignment="1">
      <alignment horizontal="right" vertical="center"/>
    </xf>
    <xf numFmtId="0" fontId="28" fillId="0" borderId="0" xfId="1" applyNumberFormat="1" applyFont="1" applyAlignment="1">
      <alignment horizontal="center" vertical="center"/>
    </xf>
    <xf numFmtId="0" fontId="51" fillId="20" borderId="46" xfId="9" applyFont="1" applyFill="1" applyBorder="1" applyAlignment="1">
      <alignment horizontal="center" vertical="center"/>
    </xf>
    <xf numFmtId="41" fontId="49" fillId="0" borderId="47" xfId="10" applyFont="1" applyBorder="1" applyAlignment="1">
      <alignment horizontal="right" vertical="center"/>
    </xf>
    <xf numFmtId="41" fontId="0" fillId="14" borderId="11" xfId="0" applyNumberFormat="1" applyFill="1" applyBorder="1" applyAlignment="1">
      <alignment horizontal="center" vertical="center"/>
    </xf>
    <xf numFmtId="9" fontId="92" fillId="0" borderId="0" xfId="7" applyFont="1" applyAlignment="1">
      <alignment horizontal="center" vertical="center"/>
    </xf>
    <xf numFmtId="9" fontId="94" fillId="0" borderId="0" xfId="7" applyFont="1" applyAlignment="1">
      <alignment vertical="center"/>
    </xf>
    <xf numFmtId="0" fontId="95" fillId="0" borderId="11" xfId="9" applyFont="1" applyBorder="1" applyAlignment="1">
      <alignment horizontal="center"/>
    </xf>
    <xf numFmtId="0" fontId="96" fillId="0" borderId="11" xfId="9" applyFont="1" applyBorder="1" applyAlignment="1">
      <alignment horizontal="center"/>
    </xf>
    <xf numFmtId="0" fontId="67" fillId="0" borderId="34" xfId="9" applyFont="1" applyBorder="1" applyAlignment="1">
      <alignment vertical="center"/>
    </xf>
    <xf numFmtId="188" fontId="0" fillId="0" borderId="0" xfId="7" applyNumberFormat="1" applyFont="1" applyAlignment="1">
      <alignment horizontal="center" vertical="center"/>
    </xf>
    <xf numFmtId="0" fontId="0" fillId="15" borderId="0" xfId="0" applyFill="1" applyAlignment="1">
      <alignment horizontal="center"/>
    </xf>
    <xf numFmtId="0" fontId="0" fillId="15" borderId="0" xfId="0" applyFill="1" applyAlignment="1"/>
    <xf numFmtId="0" fontId="0" fillId="15" borderId="0" xfId="0" applyFill="1" applyAlignment="1" applyProtection="1">
      <protection locked="0"/>
    </xf>
    <xf numFmtId="0" fontId="0" fillId="15" borderId="0" xfId="0" applyFill="1" applyAlignment="1">
      <alignment wrapText="1"/>
    </xf>
    <xf numFmtId="0" fontId="5" fillId="0" borderId="11" xfId="0" applyFont="1" applyBorder="1" applyAlignment="1">
      <alignment horizontal="center" vertical="center"/>
    </xf>
    <xf numFmtId="41" fontId="5" fillId="0" borderId="11" xfId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1" fontId="0" fillId="0" borderId="48" xfId="1" applyFont="1" applyFill="1" applyBorder="1" applyAlignment="1">
      <alignment horizontal="center" vertical="center"/>
    </xf>
    <xf numFmtId="0" fontId="4" fillId="3" borderId="11" xfId="0" applyFont="1" applyFill="1" applyBorder="1">
      <alignment vertical="center"/>
    </xf>
    <xf numFmtId="188" fontId="4" fillId="3" borderId="11" xfId="7" applyNumberFormat="1" applyFont="1" applyFill="1" applyBorder="1">
      <alignment vertical="center"/>
    </xf>
    <xf numFmtId="0" fontId="4" fillId="0" borderId="39" xfId="0" applyFont="1" applyBorder="1" applyAlignment="1">
      <alignment vertical="center" wrapText="1"/>
    </xf>
    <xf numFmtId="0" fontId="4" fillId="0" borderId="41" xfId="0" applyFont="1" applyBorder="1">
      <alignment vertical="center"/>
    </xf>
    <xf numFmtId="0" fontId="0" fillId="0" borderId="11" xfId="0" applyBorder="1" applyAlignment="1">
      <alignment horizontal="left"/>
    </xf>
    <xf numFmtId="0" fontId="6" fillId="0" borderId="0" xfId="9" quotePrefix="1" applyFont="1" applyAlignment="1">
      <alignment vertical="center"/>
    </xf>
    <xf numFmtId="0" fontId="55" fillId="0" borderId="0" xfId="9" applyFont="1" applyAlignment="1">
      <alignment horizontal="left" vertical="center" wrapText="1"/>
    </xf>
    <xf numFmtId="0" fontId="57" fillId="0" borderId="0" xfId="9" applyFont="1" applyAlignment="1">
      <alignment horizontal="left" vertical="center" wrapText="1"/>
    </xf>
    <xf numFmtId="0" fontId="71" fillId="0" borderId="7" xfId="9" applyFont="1" applyBorder="1" applyAlignment="1">
      <alignment horizontal="center" vertical="center"/>
    </xf>
    <xf numFmtId="0" fontId="71" fillId="0" borderId="8" xfId="9" applyFont="1" applyBorder="1" applyAlignment="1">
      <alignment horizontal="center" vertical="center"/>
    </xf>
    <xf numFmtId="0" fontId="80" fillId="0" borderId="7" xfId="9" applyFont="1" applyBorder="1" applyAlignment="1">
      <alignment horizontal="center"/>
    </xf>
    <xf numFmtId="0" fontId="80" fillId="0" borderId="8" xfId="9" applyFont="1" applyBorder="1" applyAlignment="1">
      <alignment horizontal="center"/>
    </xf>
    <xf numFmtId="0" fontId="44" fillId="0" borderId="0" xfId="9" applyFont="1" applyAlignment="1">
      <alignment horizontal="right" vertical="top"/>
    </xf>
    <xf numFmtId="0" fontId="45" fillId="0" borderId="0" xfId="9" applyFont="1"/>
    <xf numFmtId="0" fontId="6" fillId="0" borderId="0" xfId="9" applyFont="1" applyAlignment="1">
      <alignment horizontal="left" vertical="center"/>
    </xf>
    <xf numFmtId="0" fontId="8" fillId="0" borderId="4" xfId="9" applyFont="1" applyBorder="1" applyAlignment="1">
      <alignment horizontal="center" vertical="center"/>
    </xf>
    <xf numFmtId="0" fontId="8" fillId="0" borderId="6" xfId="9" applyFont="1" applyBorder="1" applyAlignment="1">
      <alignment horizontal="center" vertical="center"/>
    </xf>
    <xf numFmtId="0" fontId="80" fillId="0" borderId="4" xfId="9" applyFont="1" applyBorder="1" applyAlignment="1">
      <alignment horizontal="center"/>
    </xf>
    <xf numFmtId="0" fontId="80" fillId="0" borderId="6" xfId="9" applyFont="1" applyBorder="1" applyAlignment="1">
      <alignment horizontal="center"/>
    </xf>
    <xf numFmtId="0" fontId="71" fillId="0" borderId="9" xfId="9" applyFont="1" applyBorder="1" applyAlignment="1">
      <alignment horizontal="center" vertical="center"/>
    </xf>
    <xf numFmtId="0" fontId="71" fillId="0" borderId="21" xfId="9" applyFont="1" applyBorder="1" applyAlignment="1">
      <alignment horizontal="center" vertical="center"/>
    </xf>
    <xf numFmtId="0" fontId="80" fillId="0" borderId="9" xfId="9" applyFont="1" applyBorder="1" applyAlignment="1">
      <alignment horizontal="center"/>
    </xf>
    <xf numFmtId="0" fontId="80" fillId="0" borderId="21" xfId="9" applyFont="1" applyBorder="1" applyAlignment="1">
      <alignment horizontal="center"/>
    </xf>
    <xf numFmtId="0" fontId="81" fillId="0" borderId="9" xfId="9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5" fillId="8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14" fontId="5" fillId="3" borderId="0" xfId="0" applyNumberFormat="1" applyFont="1" applyFill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14" fontId="5" fillId="4" borderId="0" xfId="0" applyNumberFormat="1" applyFont="1" applyFill="1" applyAlignment="1">
      <alignment horizontal="right" vertical="center"/>
    </xf>
    <xf numFmtId="14" fontId="5" fillId="5" borderId="0" xfId="0" applyNumberFormat="1" applyFont="1" applyFill="1" applyAlignment="1">
      <alignment horizontal="right" vertical="center"/>
    </xf>
    <xf numFmtId="14" fontId="5" fillId="6" borderId="0" xfId="0" applyNumberFormat="1" applyFont="1" applyFill="1" applyAlignment="1">
      <alignment horizontal="right" vertical="center"/>
    </xf>
  </cellXfs>
  <cellStyles count="13">
    <cellStyle name="백분율" xfId="7" builtinId="5"/>
    <cellStyle name="쉼표 [0]" xfId="1" builtinId="6"/>
    <cellStyle name="쉼표 [0] 2" xfId="10" xr:uid="{A768E496-2B96-4E48-9E30-9D869C393496}"/>
    <cellStyle name="쉼표 [0] 2 2" xfId="12" xr:uid="{A768E496-2B96-4E48-9E30-9D869C393496}"/>
    <cellStyle name="쉼표 [0] 3" xfId="11" xr:uid="{00000000-0005-0000-0000-000039000000}"/>
    <cellStyle name="표준" xfId="0" builtinId="0"/>
    <cellStyle name="표준 10 2" xfId="3" xr:uid="{295E9CB2-F16B-424E-9296-F415CE4D479A}"/>
    <cellStyle name="표준 2" xfId="2" xr:uid="{65CE8FA5-B48F-48F3-9080-654792E82B85}"/>
    <cellStyle name="표준 2 2" xfId="4" xr:uid="{2A534493-9B3E-44BA-A146-B9FA74178A68}"/>
    <cellStyle name="표준 2 2 169" xfId="6" xr:uid="{B424B77E-E591-4497-A158-9EB7B7AB6480}"/>
    <cellStyle name="표준 2 3" xfId="8" xr:uid="{FFD992DE-0BA9-4BDB-B056-18298E9948F8}"/>
    <cellStyle name="표준 2 3 2" xfId="9" xr:uid="{5785FAA9-D2E6-41C0-BEFD-72105463083D}"/>
    <cellStyle name="표준_GT100 DUTY_TABLE_060322rev2" xfId="5" xr:uid="{FC2CC8FF-3A69-4799-8055-A53FCE7C9F74}"/>
  </cellStyles>
  <dxfs count="4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83" formatCode="0.0"/>
      <alignment horizontal="center" vertical="center" textRotation="0" wrapText="0" indent="0" justifyLastLine="0" shrinkToFit="0" readingOrder="0"/>
    </dxf>
    <dxf>
      <numFmt numFmtId="183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family val="3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4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/>
        <family val="3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4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family val="3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4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644739</xdr:colOff>
      <xdr:row>2</xdr:row>
      <xdr:rowOff>771846</xdr:rowOff>
    </xdr:from>
    <xdr:to>
      <xdr:col>5</xdr:col>
      <xdr:colOff>552142</xdr:colOff>
      <xdr:row>3</xdr:row>
      <xdr:rowOff>358812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03D28DB-6B49-4EBE-8954-100964936D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3279" b="95082" l="8451" r="91549"/>
                  </a14:imgEffect>
                </a14:imgLayer>
              </a14:imgProps>
            </a:ext>
          </a:extLst>
        </a:blip>
        <a:srcRect l="8915" t="3302" r="8817" b="3302"/>
        <a:stretch/>
      </xdr:blipFill>
      <xdr:spPr>
        <a:xfrm>
          <a:off x="3692739" y="1133796"/>
          <a:ext cx="678928" cy="585186"/>
        </a:xfrm>
        <a:prstGeom prst="rect">
          <a:avLst/>
        </a:prstGeom>
      </xdr:spPr>
    </xdr:pic>
    <xdr:clientData/>
  </xdr:twoCellAnchor>
  <xdr:twoCellAnchor editAs="oneCell">
    <xdr:from>
      <xdr:col>1</xdr:col>
      <xdr:colOff>17371</xdr:colOff>
      <xdr:row>2</xdr:row>
      <xdr:rowOff>878542</xdr:rowOff>
    </xdr:from>
    <xdr:to>
      <xdr:col>4</xdr:col>
      <xdr:colOff>626345</xdr:colOff>
      <xdr:row>3</xdr:row>
      <xdr:rowOff>130489</xdr:rowOff>
    </xdr:to>
    <xdr:pic>
      <xdr:nvPicPr>
        <xdr:cNvPr id="3" name="Picture 6" descr="C:\Documents and Settings\user\바탕 화면\영문CI2.png">
          <a:extLst>
            <a:ext uri="{FF2B5EF4-FFF2-40B4-BE49-F238E27FC236}">
              <a16:creationId xmlns:a16="http://schemas.microsoft.com/office/drawing/2014/main" id="{9511B147-5325-4E04-AFFA-3DB7759D3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121" y="1240492"/>
          <a:ext cx="3363604" cy="2501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12</xdr:row>
      <xdr:rowOff>0</xdr:rowOff>
    </xdr:from>
    <xdr:to>
      <xdr:col>31</xdr:col>
      <xdr:colOff>876300</xdr:colOff>
      <xdr:row>22</xdr:row>
      <xdr:rowOff>134902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A69D1D1-E049-41A9-8504-1E2875B16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59050" y="2514600"/>
          <a:ext cx="6105525" cy="2232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</xdr:colOff>
      <xdr:row>23</xdr:row>
      <xdr:rowOff>0</xdr:rowOff>
    </xdr:from>
    <xdr:to>
      <xdr:col>31</xdr:col>
      <xdr:colOff>853441</xdr:colOff>
      <xdr:row>33</xdr:row>
      <xdr:rowOff>53340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0B153BF-5595-4AD4-B31A-76D401141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59051" y="4819650"/>
          <a:ext cx="6076950" cy="2152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34</xdr:row>
      <xdr:rowOff>0</xdr:rowOff>
    </xdr:from>
    <xdr:to>
      <xdr:col>29</xdr:col>
      <xdr:colOff>1120140</xdr:colOff>
      <xdr:row>39</xdr:row>
      <xdr:rowOff>169545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78A368B-F34A-4ECB-AE0F-76F30A623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59050" y="7124700"/>
          <a:ext cx="4438650" cy="1228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68.7.36\home\1%20&#49324;&#47924;\1%20DATA\Document\DUTY%20TABLE%20&#50629;&#45936;&#51060;&#53944;\2017.09.28\NEO%20MRL%20DUTY%20TABLE%20REV0%2017080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849;&#44053;&#47196;%20&#48512;&#54408;%20&#51088;&#46041;&#49688;&#48176;_&#51473;&#49548;&#44592;&#50629;%20BOM&#50857;_Rev16.1.xlsx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5800;&#44032;&#54869;&#51064;&#50836;&#52397;_&#49436;&#48708;&#49828;&#44592;&#49696;&#50689;&#50629;_&#54924;&#49888;_20260812&#44592;&#514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RE ROPE 길이계산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ASSY"/>
      <sheetName val="원가정보3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"/>
    </sheetNames>
    <sheetDataSet>
      <sheetData sheetId="0">
        <row r="4">
          <cell r="B4" t="str">
            <v>20410986G0100</v>
          </cell>
          <cell r="E4">
            <v>1538060</v>
          </cell>
          <cell r="F4">
            <v>23070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1561130</v>
          </cell>
        </row>
        <row r="5">
          <cell r="B5" t="str">
            <v>20410986G0200</v>
          </cell>
          <cell r="E5">
            <v>1684390</v>
          </cell>
          <cell r="F5">
            <v>25265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1709655</v>
          </cell>
        </row>
        <row r="6">
          <cell r="B6" t="str">
            <v>20410986G0300</v>
          </cell>
          <cell r="E6">
            <v>1928890</v>
          </cell>
          <cell r="F6">
            <v>28933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1957823</v>
          </cell>
        </row>
        <row r="7">
          <cell r="B7" t="str">
            <v>20410986G0400</v>
          </cell>
          <cell r="E7">
            <v>2273970</v>
          </cell>
          <cell r="F7">
            <v>34109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2308079</v>
          </cell>
        </row>
        <row r="8">
          <cell r="B8" t="str">
            <v>20410988G0100</v>
          </cell>
          <cell r="E8">
            <v>658000</v>
          </cell>
          <cell r="F8">
            <v>9870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667870</v>
          </cell>
        </row>
        <row r="9">
          <cell r="B9" t="str">
            <v>20410988G0200</v>
          </cell>
          <cell r="E9">
            <v>670000</v>
          </cell>
          <cell r="F9">
            <v>10050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680050</v>
          </cell>
        </row>
        <row r="10">
          <cell r="B10" t="str">
            <v>20410988G0300</v>
          </cell>
          <cell r="E10">
            <v>683000</v>
          </cell>
          <cell r="F10">
            <v>10245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693245</v>
          </cell>
        </row>
        <row r="11">
          <cell r="B11" t="str">
            <v>20410988G0400</v>
          </cell>
          <cell r="E11">
            <v>1101000</v>
          </cell>
          <cell r="F11">
            <v>16515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1117515</v>
          </cell>
        </row>
        <row r="12">
          <cell r="B12" t="str">
            <v>20410988G0600</v>
          </cell>
          <cell r="E12">
            <v>658000</v>
          </cell>
          <cell r="F12">
            <v>9870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667870</v>
          </cell>
        </row>
        <row r="13">
          <cell r="B13" t="str">
            <v>20410988G0700</v>
          </cell>
          <cell r="E13">
            <v>670000</v>
          </cell>
          <cell r="F13">
            <v>10050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680050</v>
          </cell>
        </row>
        <row r="14">
          <cell r="B14" t="str">
            <v>20410988G0800</v>
          </cell>
          <cell r="E14">
            <v>683000</v>
          </cell>
          <cell r="F14">
            <v>10245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693245</v>
          </cell>
        </row>
        <row r="15">
          <cell r="B15" t="str">
            <v>20410988G0900</v>
          </cell>
          <cell r="E15">
            <v>1101000</v>
          </cell>
          <cell r="F15">
            <v>16515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1117515</v>
          </cell>
        </row>
        <row r="16">
          <cell r="B16" t="str">
            <v>20410988G1100</v>
          </cell>
          <cell r="E16">
            <v>658000</v>
          </cell>
          <cell r="F16">
            <v>9870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667870</v>
          </cell>
        </row>
        <row r="17">
          <cell r="B17" t="str">
            <v>20410988G1200</v>
          </cell>
          <cell r="E17">
            <v>670000</v>
          </cell>
          <cell r="F17">
            <v>10050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680050</v>
          </cell>
        </row>
        <row r="18">
          <cell r="B18" t="str">
            <v>20410988G1300</v>
          </cell>
          <cell r="E18">
            <v>683000</v>
          </cell>
          <cell r="F18">
            <v>10245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693245</v>
          </cell>
        </row>
        <row r="19">
          <cell r="B19" t="str">
            <v>20410988G1400</v>
          </cell>
          <cell r="E19">
            <v>1101000</v>
          </cell>
          <cell r="F19">
            <v>16515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1117515</v>
          </cell>
        </row>
        <row r="20">
          <cell r="B20" t="str">
            <v>20410988G1600</v>
          </cell>
          <cell r="E20">
            <v>658000</v>
          </cell>
          <cell r="F20">
            <v>9870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667870</v>
          </cell>
        </row>
        <row r="21">
          <cell r="B21" t="str">
            <v>20410988G1700</v>
          </cell>
          <cell r="E21">
            <v>670000</v>
          </cell>
          <cell r="F21">
            <v>10050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680050</v>
          </cell>
        </row>
        <row r="22">
          <cell r="B22" t="str">
            <v>20410988G1800</v>
          </cell>
          <cell r="E22">
            <v>683000</v>
          </cell>
          <cell r="F22">
            <v>10245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693245</v>
          </cell>
        </row>
        <row r="23">
          <cell r="B23" t="str">
            <v>20410988G1900</v>
          </cell>
          <cell r="E23">
            <v>1101000</v>
          </cell>
          <cell r="F23">
            <v>16515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1117515</v>
          </cell>
        </row>
        <row r="24">
          <cell r="B24" t="str">
            <v>20410988G2100</v>
          </cell>
          <cell r="E24">
            <v>658000</v>
          </cell>
          <cell r="F24">
            <v>9870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667870</v>
          </cell>
        </row>
        <row r="25">
          <cell r="B25" t="str">
            <v>20410988G2200</v>
          </cell>
          <cell r="E25">
            <v>670000</v>
          </cell>
          <cell r="F25">
            <v>10050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680050</v>
          </cell>
        </row>
        <row r="26">
          <cell r="B26" t="str">
            <v>20410988G2300</v>
          </cell>
          <cell r="E26">
            <v>683000</v>
          </cell>
          <cell r="F26">
            <v>10245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693245</v>
          </cell>
        </row>
        <row r="27">
          <cell r="B27" t="str">
            <v>20410988G2400</v>
          </cell>
          <cell r="E27">
            <v>1101000</v>
          </cell>
          <cell r="F27">
            <v>16515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1117515</v>
          </cell>
        </row>
        <row r="28">
          <cell r="B28" t="str">
            <v>20410988G2600</v>
          </cell>
          <cell r="E28">
            <v>658000</v>
          </cell>
          <cell r="F28">
            <v>9870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667870</v>
          </cell>
        </row>
        <row r="29">
          <cell r="B29" t="str">
            <v>20410988G2700</v>
          </cell>
          <cell r="E29">
            <v>670000</v>
          </cell>
          <cell r="F29">
            <v>10050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680050</v>
          </cell>
        </row>
        <row r="30">
          <cell r="B30" t="str">
            <v>20410988G2800</v>
          </cell>
          <cell r="E30">
            <v>683000</v>
          </cell>
          <cell r="F30">
            <v>10245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693245</v>
          </cell>
        </row>
        <row r="31">
          <cell r="B31" t="str">
            <v>20410988G2900</v>
          </cell>
          <cell r="E31">
            <v>1101000</v>
          </cell>
          <cell r="F31">
            <v>16515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1117515</v>
          </cell>
        </row>
        <row r="32">
          <cell r="B32" t="str">
            <v>20410988G3100</v>
          </cell>
          <cell r="E32">
            <v>658000</v>
          </cell>
          <cell r="F32">
            <v>9870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667870</v>
          </cell>
        </row>
        <row r="33">
          <cell r="B33" t="str">
            <v>20410988G3200</v>
          </cell>
          <cell r="E33">
            <v>670000</v>
          </cell>
          <cell r="F33">
            <v>10050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680050</v>
          </cell>
        </row>
        <row r="34">
          <cell r="B34" t="str">
            <v>20410988G3300</v>
          </cell>
          <cell r="E34">
            <v>683000</v>
          </cell>
          <cell r="F34">
            <v>10245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693245</v>
          </cell>
        </row>
        <row r="35">
          <cell r="B35" t="str">
            <v>20410988G3400</v>
          </cell>
          <cell r="E35">
            <v>1101000</v>
          </cell>
          <cell r="F35">
            <v>16515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1117515</v>
          </cell>
        </row>
        <row r="36">
          <cell r="B36" t="str">
            <v>20410990G0100</v>
          </cell>
          <cell r="E36">
            <v>1994140</v>
          </cell>
          <cell r="F36">
            <v>29912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2024052</v>
          </cell>
        </row>
        <row r="37">
          <cell r="B37" t="str">
            <v>20410990G0200</v>
          </cell>
          <cell r="E37">
            <v>2015510</v>
          </cell>
          <cell r="F37">
            <v>30232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2045742</v>
          </cell>
        </row>
        <row r="38">
          <cell r="B38" t="str">
            <v>20410990G0300</v>
          </cell>
          <cell r="E38">
            <v>2099720</v>
          </cell>
          <cell r="F38">
            <v>31495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2131215</v>
          </cell>
        </row>
        <row r="39">
          <cell r="B39" t="str">
            <v>20410990G0400</v>
          </cell>
          <cell r="E39">
            <v>2658790</v>
          </cell>
          <cell r="F39">
            <v>39881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2698671</v>
          </cell>
        </row>
        <row r="40">
          <cell r="B40" t="str">
            <v>20410992G0100</v>
          </cell>
          <cell r="E40">
            <v>1311700</v>
          </cell>
          <cell r="F40">
            <v>19675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1331375</v>
          </cell>
        </row>
        <row r="41">
          <cell r="B41" t="str">
            <v>20410992G0200</v>
          </cell>
          <cell r="E41">
            <v>1337800</v>
          </cell>
          <cell r="F41">
            <v>20067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1357867</v>
          </cell>
        </row>
        <row r="42">
          <cell r="B42" t="str">
            <v>20410992G0300</v>
          </cell>
          <cell r="E42">
            <v>1462900</v>
          </cell>
          <cell r="F42">
            <v>21943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1484843</v>
          </cell>
        </row>
        <row r="43">
          <cell r="B43" t="str">
            <v>20410992G0400</v>
          </cell>
          <cell r="E43">
            <v>2040150</v>
          </cell>
          <cell r="F43">
            <v>30602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2070752</v>
          </cell>
        </row>
        <row r="44">
          <cell r="B44" t="str">
            <v>20410992G0500</v>
          </cell>
          <cell r="E44">
            <v>1311700</v>
          </cell>
          <cell r="F44">
            <v>19675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1331375</v>
          </cell>
        </row>
        <row r="45">
          <cell r="B45" t="str">
            <v>20410992G0600</v>
          </cell>
          <cell r="E45">
            <v>1337800</v>
          </cell>
          <cell r="F45">
            <v>20067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1357867</v>
          </cell>
        </row>
        <row r="46">
          <cell r="B46" t="str">
            <v>20410992G0700</v>
          </cell>
          <cell r="E46">
            <v>1462900</v>
          </cell>
          <cell r="F46">
            <v>21943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1484843</v>
          </cell>
        </row>
        <row r="47">
          <cell r="B47" t="str">
            <v>20410992G0800</v>
          </cell>
          <cell r="E47">
            <v>2040150</v>
          </cell>
          <cell r="F47">
            <v>30602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2070752</v>
          </cell>
        </row>
        <row r="48">
          <cell r="B48" t="str">
            <v>20410992G0900</v>
          </cell>
          <cell r="E48">
            <v>1311700</v>
          </cell>
          <cell r="F48">
            <v>19675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1331375</v>
          </cell>
        </row>
        <row r="49">
          <cell r="B49" t="str">
            <v>20410992G1000</v>
          </cell>
          <cell r="E49">
            <v>1337800</v>
          </cell>
          <cell r="F49">
            <v>20067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1357867</v>
          </cell>
        </row>
        <row r="50">
          <cell r="B50" t="str">
            <v>20410992G1100</v>
          </cell>
          <cell r="E50">
            <v>1462900</v>
          </cell>
          <cell r="F50">
            <v>21943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1484843</v>
          </cell>
        </row>
        <row r="51">
          <cell r="B51" t="str">
            <v>20410992G1200</v>
          </cell>
          <cell r="E51">
            <v>2040150</v>
          </cell>
          <cell r="F51">
            <v>30602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2070752</v>
          </cell>
        </row>
        <row r="52">
          <cell r="B52" t="str">
            <v>20410992G1300</v>
          </cell>
          <cell r="E52">
            <v>1311700</v>
          </cell>
          <cell r="F52">
            <v>19675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1331375</v>
          </cell>
        </row>
        <row r="53">
          <cell r="B53" t="str">
            <v>20410992G1400</v>
          </cell>
          <cell r="E53">
            <v>1337800</v>
          </cell>
          <cell r="F53">
            <v>20067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1357867</v>
          </cell>
        </row>
        <row r="54">
          <cell r="B54" t="str">
            <v>20410992G1500</v>
          </cell>
          <cell r="E54">
            <v>1462900</v>
          </cell>
          <cell r="F54">
            <v>21943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1484843</v>
          </cell>
        </row>
        <row r="55">
          <cell r="B55" t="str">
            <v>20410992G1600</v>
          </cell>
          <cell r="E55">
            <v>2040150</v>
          </cell>
          <cell r="F55">
            <v>30602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2070752</v>
          </cell>
        </row>
        <row r="56">
          <cell r="B56" t="str">
            <v>20410992G1700</v>
          </cell>
          <cell r="E56">
            <v>1311700</v>
          </cell>
          <cell r="F56">
            <v>19675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1331375</v>
          </cell>
        </row>
        <row r="57">
          <cell r="B57" t="str">
            <v>20410992G1800</v>
          </cell>
          <cell r="E57">
            <v>1337800</v>
          </cell>
          <cell r="F57">
            <v>20067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1357867</v>
          </cell>
        </row>
        <row r="58">
          <cell r="B58" t="str">
            <v>20410992G1900</v>
          </cell>
          <cell r="E58">
            <v>1462900</v>
          </cell>
          <cell r="F58">
            <v>21943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1484843</v>
          </cell>
        </row>
        <row r="59">
          <cell r="B59" t="str">
            <v>20410992G2000</v>
          </cell>
          <cell r="E59">
            <v>2040150</v>
          </cell>
          <cell r="F59">
            <v>30602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2070752</v>
          </cell>
        </row>
        <row r="60">
          <cell r="B60" t="str">
            <v>20410992G2100</v>
          </cell>
          <cell r="E60">
            <v>1311700</v>
          </cell>
          <cell r="F60">
            <v>19675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1331375</v>
          </cell>
        </row>
        <row r="61">
          <cell r="B61" t="str">
            <v>20410992G2200</v>
          </cell>
          <cell r="E61">
            <v>1337800</v>
          </cell>
          <cell r="F61">
            <v>20067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1357867</v>
          </cell>
        </row>
        <row r="62">
          <cell r="B62" t="str">
            <v>20410992G2300</v>
          </cell>
          <cell r="E62">
            <v>1462900</v>
          </cell>
          <cell r="F62">
            <v>21943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1484843</v>
          </cell>
        </row>
        <row r="63">
          <cell r="B63" t="str">
            <v>20410992G2400</v>
          </cell>
          <cell r="E63">
            <v>2040150</v>
          </cell>
          <cell r="F63">
            <v>30602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2070752</v>
          </cell>
        </row>
        <row r="64">
          <cell r="B64" t="str">
            <v>20410992G2500</v>
          </cell>
          <cell r="E64">
            <v>1298520</v>
          </cell>
          <cell r="F64">
            <v>19477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1317997</v>
          </cell>
        </row>
        <row r="65">
          <cell r="B65" t="str">
            <v>20410992G2600</v>
          </cell>
          <cell r="E65">
            <v>1324330</v>
          </cell>
          <cell r="F65">
            <v>19864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1344194</v>
          </cell>
        </row>
        <row r="66">
          <cell r="B66" t="str">
            <v>20410992G2700</v>
          </cell>
          <cell r="E66">
            <v>1448140</v>
          </cell>
          <cell r="F66">
            <v>21722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1469862</v>
          </cell>
        </row>
        <row r="67">
          <cell r="B67" t="str">
            <v>20410992G2800</v>
          </cell>
          <cell r="E67">
            <v>1999340</v>
          </cell>
          <cell r="F67">
            <v>29990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2029330</v>
          </cell>
        </row>
        <row r="68">
          <cell r="B68" t="str">
            <v>20411102G0100</v>
          </cell>
          <cell r="E68">
            <v>1404040</v>
          </cell>
          <cell r="F68">
            <v>21060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1425100</v>
          </cell>
        </row>
        <row r="69">
          <cell r="B69" t="str">
            <v>20411102G0200</v>
          </cell>
          <cell r="E69">
            <v>1546600</v>
          </cell>
          <cell r="F69">
            <v>23199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1569799</v>
          </cell>
        </row>
        <row r="70">
          <cell r="B70" t="str">
            <v>20411102G0300</v>
          </cell>
          <cell r="E70">
            <v>1800600</v>
          </cell>
          <cell r="F70">
            <v>27009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1827609</v>
          </cell>
        </row>
        <row r="71">
          <cell r="B71" t="str">
            <v>20411102G0400</v>
          </cell>
          <cell r="E71">
            <v>2060520</v>
          </cell>
          <cell r="F71">
            <v>30907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2091427</v>
          </cell>
        </row>
        <row r="72">
          <cell r="B72" t="str">
            <v>20411104G0100</v>
          </cell>
          <cell r="E72">
            <v>1868930</v>
          </cell>
          <cell r="F72">
            <v>28033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1896963</v>
          </cell>
        </row>
        <row r="73">
          <cell r="B73" t="str">
            <v>20411104G0200</v>
          </cell>
          <cell r="E73">
            <v>1890300</v>
          </cell>
          <cell r="F73">
            <v>28354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1918654</v>
          </cell>
        </row>
        <row r="74">
          <cell r="B74" t="str">
            <v>20411104G0300</v>
          </cell>
          <cell r="E74">
            <v>1974510</v>
          </cell>
          <cell r="F74">
            <v>29617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2004127</v>
          </cell>
        </row>
        <row r="75">
          <cell r="B75" t="str">
            <v>20411104G0400</v>
          </cell>
          <cell r="E75">
            <v>2533580</v>
          </cell>
          <cell r="F75">
            <v>38003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2571583</v>
          </cell>
        </row>
        <row r="76">
          <cell r="B76" t="str">
            <v>20411106G0100</v>
          </cell>
          <cell r="E76">
            <v>659000</v>
          </cell>
          <cell r="F76">
            <v>9885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668885</v>
          </cell>
        </row>
        <row r="77">
          <cell r="B77" t="str">
            <v>20411106G0200</v>
          </cell>
          <cell r="E77">
            <v>670800</v>
          </cell>
          <cell r="F77">
            <v>10062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680862</v>
          </cell>
        </row>
        <row r="78">
          <cell r="B78" t="str">
            <v>20411106G0300</v>
          </cell>
          <cell r="E78">
            <v>683800</v>
          </cell>
          <cell r="F78">
            <v>10257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694057</v>
          </cell>
        </row>
        <row r="79">
          <cell r="B79" t="str">
            <v>20411106G0400</v>
          </cell>
          <cell r="E79">
            <v>1102200</v>
          </cell>
          <cell r="F79">
            <v>16533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1118733</v>
          </cell>
        </row>
        <row r="80">
          <cell r="B80" t="str">
            <v>20411106G0600</v>
          </cell>
          <cell r="E80">
            <v>659000</v>
          </cell>
          <cell r="F80">
            <v>9885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668885</v>
          </cell>
        </row>
        <row r="81">
          <cell r="B81" t="str">
            <v>20411106G0700</v>
          </cell>
          <cell r="E81">
            <v>670800</v>
          </cell>
          <cell r="F81">
            <v>10062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680862</v>
          </cell>
        </row>
        <row r="82">
          <cell r="B82" t="str">
            <v>20411106G0800</v>
          </cell>
          <cell r="E82">
            <v>683800</v>
          </cell>
          <cell r="F82">
            <v>10257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694057</v>
          </cell>
        </row>
        <row r="83">
          <cell r="B83" t="str">
            <v>20411106G0900</v>
          </cell>
          <cell r="E83">
            <v>1102200</v>
          </cell>
          <cell r="F83">
            <v>16533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1118733</v>
          </cell>
        </row>
        <row r="84">
          <cell r="B84" t="str">
            <v>20411106G1100</v>
          </cell>
          <cell r="E84">
            <v>659000</v>
          </cell>
          <cell r="F84">
            <v>9885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668885</v>
          </cell>
        </row>
        <row r="85">
          <cell r="B85" t="str">
            <v>20411106G1200</v>
          </cell>
          <cell r="E85">
            <v>670800</v>
          </cell>
          <cell r="F85">
            <v>10062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680862</v>
          </cell>
        </row>
        <row r="86">
          <cell r="B86" t="str">
            <v>20411106G1300</v>
          </cell>
          <cell r="E86">
            <v>683800</v>
          </cell>
          <cell r="F86">
            <v>10257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694057</v>
          </cell>
        </row>
        <row r="87">
          <cell r="B87" t="str">
            <v>20411106G1400</v>
          </cell>
          <cell r="E87">
            <v>1102200</v>
          </cell>
          <cell r="F87">
            <v>16533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1118733</v>
          </cell>
        </row>
        <row r="88">
          <cell r="B88" t="str">
            <v>20411106G1600</v>
          </cell>
          <cell r="E88">
            <v>659000</v>
          </cell>
          <cell r="F88">
            <v>9885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668885</v>
          </cell>
        </row>
        <row r="89">
          <cell r="B89" t="str">
            <v>20411106G1700</v>
          </cell>
          <cell r="E89">
            <v>670800</v>
          </cell>
          <cell r="F89">
            <v>10062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680862</v>
          </cell>
        </row>
        <row r="90">
          <cell r="B90" t="str">
            <v>20411106G1800</v>
          </cell>
          <cell r="E90">
            <v>683800</v>
          </cell>
          <cell r="F90">
            <v>10257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694057</v>
          </cell>
        </row>
        <row r="91">
          <cell r="B91" t="str">
            <v>20411106G1900</v>
          </cell>
          <cell r="E91">
            <v>1102200</v>
          </cell>
          <cell r="F91">
            <v>16533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1118733</v>
          </cell>
        </row>
        <row r="92">
          <cell r="B92" t="str">
            <v>20411106G2100</v>
          </cell>
          <cell r="E92">
            <v>659000</v>
          </cell>
          <cell r="F92">
            <v>9885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668885</v>
          </cell>
        </row>
        <row r="93">
          <cell r="B93" t="str">
            <v>20411106G2200</v>
          </cell>
          <cell r="E93">
            <v>670800</v>
          </cell>
          <cell r="F93">
            <v>10062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680862</v>
          </cell>
        </row>
        <row r="94">
          <cell r="B94" t="str">
            <v>20411106G2300</v>
          </cell>
          <cell r="E94">
            <v>683800</v>
          </cell>
          <cell r="F94">
            <v>10257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694057</v>
          </cell>
        </row>
        <row r="95">
          <cell r="B95" t="str">
            <v>20411106G2400</v>
          </cell>
          <cell r="E95">
            <v>1102200</v>
          </cell>
          <cell r="F95">
            <v>16533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1118733</v>
          </cell>
        </row>
        <row r="96">
          <cell r="B96" t="str">
            <v>20411106G2600</v>
          </cell>
          <cell r="E96">
            <v>659000</v>
          </cell>
          <cell r="F96">
            <v>9885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668885</v>
          </cell>
        </row>
        <row r="97">
          <cell r="B97" t="str">
            <v>20411106G2700</v>
          </cell>
          <cell r="E97">
            <v>670800</v>
          </cell>
          <cell r="F97">
            <v>10062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680862</v>
          </cell>
        </row>
        <row r="98">
          <cell r="B98" t="str">
            <v>20411106G2800</v>
          </cell>
          <cell r="E98">
            <v>683800</v>
          </cell>
          <cell r="F98">
            <v>10257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694057</v>
          </cell>
        </row>
        <row r="99">
          <cell r="B99" t="str">
            <v>20411106G2900</v>
          </cell>
          <cell r="E99">
            <v>1102200</v>
          </cell>
          <cell r="F99">
            <v>16533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1118733</v>
          </cell>
        </row>
        <row r="100">
          <cell r="B100" t="str">
            <v>20411108G0100</v>
          </cell>
          <cell r="E100">
            <v>1299800</v>
          </cell>
          <cell r="F100">
            <v>19497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1319297</v>
          </cell>
        </row>
        <row r="101">
          <cell r="B101" t="str">
            <v>20411108G0200</v>
          </cell>
          <cell r="E101">
            <v>1325600</v>
          </cell>
          <cell r="F101">
            <v>19884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1345484</v>
          </cell>
        </row>
        <row r="102">
          <cell r="B102" t="str">
            <v>20411108G0300</v>
          </cell>
          <cell r="E102">
            <v>1449600</v>
          </cell>
          <cell r="F102">
            <v>21744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1471344</v>
          </cell>
        </row>
        <row r="103">
          <cell r="B103" t="str">
            <v>20411108G0400</v>
          </cell>
          <cell r="E103">
            <v>2001300</v>
          </cell>
          <cell r="F103">
            <v>30019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2031319</v>
          </cell>
        </row>
        <row r="104">
          <cell r="B104" t="str">
            <v>20411108G0500</v>
          </cell>
          <cell r="E104">
            <v>1299800</v>
          </cell>
          <cell r="F104">
            <v>19497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1319297</v>
          </cell>
        </row>
        <row r="105">
          <cell r="B105" t="str">
            <v>20411108G0600</v>
          </cell>
          <cell r="E105">
            <v>1325600</v>
          </cell>
          <cell r="F105">
            <v>19884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1345484</v>
          </cell>
        </row>
        <row r="106">
          <cell r="B106" t="str">
            <v>20411108G0700</v>
          </cell>
          <cell r="E106">
            <v>1449600</v>
          </cell>
          <cell r="F106">
            <v>21744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1471344</v>
          </cell>
        </row>
        <row r="107">
          <cell r="B107" t="str">
            <v>20411108G0800</v>
          </cell>
          <cell r="E107">
            <v>2001300</v>
          </cell>
          <cell r="F107">
            <v>30019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2031319</v>
          </cell>
        </row>
        <row r="108">
          <cell r="B108" t="str">
            <v>20411108G0900</v>
          </cell>
          <cell r="E108">
            <v>1299800</v>
          </cell>
          <cell r="F108">
            <v>19497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1319297</v>
          </cell>
        </row>
        <row r="109">
          <cell r="B109" t="str">
            <v>20411108G1000</v>
          </cell>
          <cell r="E109">
            <v>1325600</v>
          </cell>
          <cell r="F109">
            <v>19884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1345484</v>
          </cell>
        </row>
        <row r="110">
          <cell r="B110" t="str">
            <v>20411108G1100</v>
          </cell>
          <cell r="E110">
            <v>1449600</v>
          </cell>
          <cell r="F110">
            <v>21744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1471344</v>
          </cell>
        </row>
        <row r="111">
          <cell r="B111" t="str">
            <v>20411108G1200</v>
          </cell>
          <cell r="E111">
            <v>2001300</v>
          </cell>
          <cell r="F111">
            <v>30019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2031319</v>
          </cell>
        </row>
        <row r="112">
          <cell r="B112" t="str">
            <v>20411108G1300</v>
          </cell>
          <cell r="E112">
            <v>1299800</v>
          </cell>
          <cell r="F112">
            <v>19497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1319297</v>
          </cell>
        </row>
        <row r="113">
          <cell r="B113" t="str">
            <v>20411108G1400</v>
          </cell>
          <cell r="E113">
            <v>1325600</v>
          </cell>
          <cell r="F113">
            <v>19884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1345484</v>
          </cell>
        </row>
        <row r="114">
          <cell r="B114" t="str">
            <v>20411108G1500</v>
          </cell>
          <cell r="E114">
            <v>1449600</v>
          </cell>
          <cell r="F114">
            <v>21744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1471344</v>
          </cell>
        </row>
        <row r="115">
          <cell r="B115" t="str">
            <v>20411108G1600</v>
          </cell>
          <cell r="E115">
            <v>2001300</v>
          </cell>
          <cell r="F115">
            <v>30019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2031319</v>
          </cell>
        </row>
        <row r="116">
          <cell r="B116" t="str">
            <v>20411108G1700</v>
          </cell>
          <cell r="E116">
            <v>1299800</v>
          </cell>
          <cell r="F116">
            <v>19497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1319297</v>
          </cell>
        </row>
        <row r="117">
          <cell r="B117" t="str">
            <v>20411108G1800</v>
          </cell>
          <cell r="E117">
            <v>1325600</v>
          </cell>
          <cell r="F117">
            <v>19884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1345484</v>
          </cell>
        </row>
        <row r="118">
          <cell r="B118" t="str">
            <v>20411108G1900</v>
          </cell>
          <cell r="E118">
            <v>1449600</v>
          </cell>
          <cell r="F118">
            <v>21744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1471344</v>
          </cell>
        </row>
        <row r="119">
          <cell r="B119" t="str">
            <v>20411108G2000</v>
          </cell>
          <cell r="E119">
            <v>2001300</v>
          </cell>
          <cell r="F119">
            <v>30019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2031319</v>
          </cell>
        </row>
        <row r="120">
          <cell r="B120" t="str">
            <v>20411108G2100</v>
          </cell>
          <cell r="E120">
            <v>1299800</v>
          </cell>
          <cell r="F120">
            <v>19497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1319297</v>
          </cell>
        </row>
        <row r="121">
          <cell r="B121" t="str">
            <v>20411108G2200</v>
          </cell>
          <cell r="E121">
            <v>1325600</v>
          </cell>
          <cell r="F121">
            <v>19884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1345484</v>
          </cell>
        </row>
        <row r="122">
          <cell r="B122" t="str">
            <v>20411108G2300</v>
          </cell>
          <cell r="E122">
            <v>1449600</v>
          </cell>
          <cell r="F122">
            <v>21744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1471344</v>
          </cell>
        </row>
        <row r="123">
          <cell r="B123" t="str">
            <v>20411108G2400</v>
          </cell>
          <cell r="E123">
            <v>2001300</v>
          </cell>
          <cell r="F123">
            <v>30019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2031319</v>
          </cell>
        </row>
        <row r="124">
          <cell r="B124" t="str">
            <v>20411047G0100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B125" t="str">
            <v>20411047G0200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B126" t="str">
            <v>20411047G0300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B127" t="str">
            <v>20411047G0400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B128" t="str">
            <v>20411047G0500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B129" t="str">
            <v>20411047G0600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B130" t="str">
            <v>20411047G0700</v>
          </cell>
          <cell r="E130">
            <v>225400</v>
          </cell>
          <cell r="F130">
            <v>3381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228781</v>
          </cell>
        </row>
        <row r="131">
          <cell r="B131" t="str">
            <v>20411048G0100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B132" t="str">
            <v>20411048G0200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B133" t="str">
            <v>20411048G0300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B134" t="str">
            <v>20411048G0400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B135" t="str">
            <v>20411048G0500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B136" t="str">
            <v>20411048G0600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B137" t="str">
            <v>20411048G0700</v>
          </cell>
          <cell r="E137">
            <v>410600</v>
          </cell>
          <cell r="F137">
            <v>6159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416759</v>
          </cell>
        </row>
        <row r="138">
          <cell r="B138" t="str">
            <v>20411050G0100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B139" t="str">
            <v>20411050G0200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B140" t="str">
            <v>20411050G0300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B141" t="str">
            <v>20411050G0400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B142" t="str">
            <v>20411050G0500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B143" t="str">
            <v>20411050G0600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B144" t="str">
            <v>20411050G0700</v>
          </cell>
          <cell r="E144">
            <v>225400</v>
          </cell>
          <cell r="F144">
            <v>3381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228781</v>
          </cell>
        </row>
        <row r="145">
          <cell r="B145" t="str">
            <v>20411051G0100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B146" t="str">
            <v>20411051G0200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B147" t="str">
            <v>20411051G0300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B148" t="str">
            <v>20411051G0400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B149" t="str">
            <v>20411051G0500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B150" t="str">
            <v>20411051G0600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B151" t="str">
            <v>20411051G0700</v>
          </cell>
          <cell r="E151">
            <v>410600</v>
          </cell>
          <cell r="F151">
            <v>6159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416759</v>
          </cell>
        </row>
        <row r="152">
          <cell r="B152" t="str">
            <v>20411113G0100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</row>
        <row r="153">
          <cell r="B153" t="str">
            <v>20411113G0200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</row>
        <row r="154">
          <cell r="B154" t="str">
            <v>20411113G0300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</row>
        <row r="155">
          <cell r="B155" t="str">
            <v>20411113G0400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</row>
        <row r="156">
          <cell r="B156" t="str">
            <v>20411113G0500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</row>
        <row r="157">
          <cell r="B157" t="str">
            <v>20411113G0600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</row>
        <row r="158">
          <cell r="B158" t="str">
            <v>20411114G0100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</row>
        <row r="159">
          <cell r="B159" t="str">
            <v>20411114G0200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</row>
        <row r="160">
          <cell r="B160" t="str">
            <v>20411114G0300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</row>
        <row r="161">
          <cell r="B161" t="str">
            <v>20411114G0400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</row>
        <row r="162">
          <cell r="B162" t="str">
            <v>20411114G0500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</row>
        <row r="163">
          <cell r="B163" t="str">
            <v>20411114G0600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B164" t="str">
            <v>20411115G0100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</row>
        <row r="165">
          <cell r="B165" t="str">
            <v>20411115G0200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</row>
        <row r="166">
          <cell r="B166" t="str">
            <v>20411115G0300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</row>
        <row r="167">
          <cell r="B167" t="str">
            <v>20411115G0400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B168" t="str">
            <v>20411115G0500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B169" t="str">
            <v>20411115G0600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</row>
        <row r="170">
          <cell r="B170" t="str">
            <v>20411116G0100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</row>
        <row r="171">
          <cell r="B171" t="str">
            <v>20411116G0200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</row>
        <row r="172">
          <cell r="B172" t="str">
            <v>20411116G0300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</row>
        <row r="173">
          <cell r="B173" t="str">
            <v>20411116G0400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</row>
        <row r="174">
          <cell r="B174" t="str">
            <v>20411116G0500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</row>
        <row r="175">
          <cell r="B175" t="str">
            <v>20411116G0600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</row>
        <row r="176">
          <cell r="B176" t="str">
            <v>20410686G050A</v>
          </cell>
          <cell r="E176">
            <v>0</v>
          </cell>
          <cell r="F176">
            <v>0</v>
          </cell>
          <cell r="G176">
            <v>128280</v>
          </cell>
          <cell r="H176">
            <v>0</v>
          </cell>
          <cell r="I176">
            <v>0</v>
          </cell>
          <cell r="J176">
            <v>7184</v>
          </cell>
          <cell r="K176">
            <v>51.9</v>
          </cell>
          <cell r="L176">
            <v>0</v>
          </cell>
          <cell r="M176">
            <v>135464</v>
          </cell>
        </row>
        <row r="177">
          <cell r="B177" t="str">
            <v>20410987G0100</v>
          </cell>
          <cell r="E177">
            <v>0</v>
          </cell>
          <cell r="F177">
            <v>0</v>
          </cell>
          <cell r="G177">
            <v>128280</v>
          </cell>
          <cell r="H177">
            <v>0</v>
          </cell>
          <cell r="I177">
            <v>0</v>
          </cell>
          <cell r="J177">
            <v>7184</v>
          </cell>
          <cell r="K177">
            <v>51.9</v>
          </cell>
          <cell r="L177">
            <v>0</v>
          </cell>
          <cell r="M177">
            <v>135464</v>
          </cell>
        </row>
        <row r="178">
          <cell r="B178" t="str">
            <v>20410987G0200</v>
          </cell>
          <cell r="E178">
            <v>0</v>
          </cell>
          <cell r="F178">
            <v>0</v>
          </cell>
          <cell r="G178">
            <v>128280</v>
          </cell>
          <cell r="H178">
            <v>0</v>
          </cell>
          <cell r="I178">
            <v>0</v>
          </cell>
          <cell r="J178">
            <v>7184</v>
          </cell>
          <cell r="K178">
            <v>51.9</v>
          </cell>
          <cell r="L178">
            <v>0</v>
          </cell>
          <cell r="M178">
            <v>135464</v>
          </cell>
        </row>
        <row r="179">
          <cell r="B179" t="str">
            <v>20410987G0300</v>
          </cell>
          <cell r="E179">
            <v>0</v>
          </cell>
          <cell r="F179">
            <v>0</v>
          </cell>
          <cell r="G179">
            <v>128280</v>
          </cell>
          <cell r="H179">
            <v>0</v>
          </cell>
          <cell r="I179">
            <v>0</v>
          </cell>
          <cell r="J179">
            <v>7184</v>
          </cell>
          <cell r="K179">
            <v>51.9</v>
          </cell>
          <cell r="L179">
            <v>0</v>
          </cell>
          <cell r="M179">
            <v>135464</v>
          </cell>
        </row>
        <row r="180">
          <cell r="B180" t="str">
            <v>20410987G0400</v>
          </cell>
          <cell r="E180">
            <v>0</v>
          </cell>
          <cell r="F180">
            <v>0</v>
          </cell>
          <cell r="G180">
            <v>128280</v>
          </cell>
          <cell r="H180">
            <v>0</v>
          </cell>
          <cell r="I180">
            <v>0</v>
          </cell>
          <cell r="J180">
            <v>7184</v>
          </cell>
          <cell r="K180">
            <v>51.9</v>
          </cell>
          <cell r="L180">
            <v>0</v>
          </cell>
          <cell r="M180">
            <v>135464</v>
          </cell>
        </row>
        <row r="181">
          <cell r="B181" t="str">
            <v>20410987G0600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</row>
        <row r="182">
          <cell r="B182" t="str">
            <v>20410987G0700</v>
          </cell>
          <cell r="E182">
            <v>0</v>
          </cell>
          <cell r="F182">
            <v>0</v>
          </cell>
          <cell r="G182">
            <v>172770</v>
          </cell>
          <cell r="H182">
            <v>0</v>
          </cell>
          <cell r="I182">
            <v>0</v>
          </cell>
          <cell r="J182">
            <v>9675</v>
          </cell>
          <cell r="K182">
            <v>69.900000000000006</v>
          </cell>
          <cell r="L182">
            <v>0</v>
          </cell>
          <cell r="M182">
            <v>182445</v>
          </cell>
        </row>
        <row r="183">
          <cell r="B183" t="str">
            <v>20410987G0800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</row>
        <row r="184">
          <cell r="B184" t="str">
            <v>20410987G0900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</row>
        <row r="185">
          <cell r="B185" t="str">
            <v>20410987G1100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</row>
        <row r="186">
          <cell r="B186" t="str">
            <v>20410987G1200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</row>
        <row r="187">
          <cell r="B187" t="str">
            <v>20410987G1300</v>
          </cell>
          <cell r="E187">
            <v>0</v>
          </cell>
          <cell r="F187">
            <v>0</v>
          </cell>
          <cell r="G187">
            <v>128280</v>
          </cell>
          <cell r="H187">
            <v>0</v>
          </cell>
          <cell r="I187">
            <v>0</v>
          </cell>
          <cell r="J187">
            <v>7184</v>
          </cell>
          <cell r="K187">
            <v>51.9</v>
          </cell>
          <cell r="L187">
            <v>0</v>
          </cell>
          <cell r="M187">
            <v>135464</v>
          </cell>
        </row>
        <row r="188">
          <cell r="B188" t="str">
            <v>20410987G1400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</row>
        <row r="189">
          <cell r="B189" t="str">
            <v>20410987G1600</v>
          </cell>
          <cell r="E189">
            <v>0</v>
          </cell>
          <cell r="F189">
            <v>0</v>
          </cell>
          <cell r="G189">
            <v>128280</v>
          </cell>
          <cell r="H189">
            <v>0</v>
          </cell>
          <cell r="I189">
            <v>0</v>
          </cell>
          <cell r="J189">
            <v>7184</v>
          </cell>
          <cell r="K189">
            <v>51.9</v>
          </cell>
          <cell r="L189">
            <v>0</v>
          </cell>
          <cell r="M189">
            <v>135464</v>
          </cell>
        </row>
        <row r="190">
          <cell r="B190" t="str">
            <v>20410987G1700</v>
          </cell>
          <cell r="E190">
            <v>0</v>
          </cell>
          <cell r="F190">
            <v>0</v>
          </cell>
          <cell r="G190">
            <v>128280</v>
          </cell>
          <cell r="H190">
            <v>0</v>
          </cell>
          <cell r="I190">
            <v>0</v>
          </cell>
          <cell r="J190">
            <v>7184</v>
          </cell>
          <cell r="K190">
            <v>51.9</v>
          </cell>
          <cell r="L190">
            <v>0</v>
          </cell>
          <cell r="M190">
            <v>135464</v>
          </cell>
        </row>
        <row r="191">
          <cell r="B191" t="str">
            <v>20410987G1800</v>
          </cell>
          <cell r="E191">
            <v>0</v>
          </cell>
          <cell r="F191">
            <v>0</v>
          </cell>
          <cell r="G191">
            <v>128280</v>
          </cell>
          <cell r="H191">
            <v>0</v>
          </cell>
          <cell r="I191">
            <v>0</v>
          </cell>
          <cell r="J191">
            <v>7184</v>
          </cell>
          <cell r="K191">
            <v>51.9</v>
          </cell>
          <cell r="L191">
            <v>0</v>
          </cell>
          <cell r="M191">
            <v>135464</v>
          </cell>
        </row>
        <row r="192">
          <cell r="B192" t="str">
            <v>20410987G1900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</row>
        <row r="193">
          <cell r="B193" t="str">
            <v>20410987G2100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</row>
        <row r="194">
          <cell r="B194" t="str">
            <v>20410987G2200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</row>
        <row r="195">
          <cell r="B195" t="str">
            <v>20410987G2300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</row>
        <row r="196">
          <cell r="B196" t="str">
            <v>20410987G2400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</row>
        <row r="197">
          <cell r="B197" t="str">
            <v>20410987G2600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</row>
        <row r="198">
          <cell r="B198" t="str">
            <v>20410987G2700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</row>
        <row r="199">
          <cell r="B199" t="str">
            <v>20410987G2800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</row>
        <row r="200">
          <cell r="B200" t="str">
            <v>20410987G2900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</row>
        <row r="201">
          <cell r="B201" t="str">
            <v>20410989G0100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</row>
        <row r="202">
          <cell r="B202" t="str">
            <v>20410989G0200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</row>
        <row r="203">
          <cell r="B203" t="str">
            <v>20410989G0300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</row>
        <row r="204">
          <cell r="B204" t="str">
            <v>20410989G0400</v>
          </cell>
          <cell r="E204">
            <v>0</v>
          </cell>
          <cell r="F204">
            <v>0</v>
          </cell>
          <cell r="G204">
            <v>144098</v>
          </cell>
          <cell r="H204">
            <v>0</v>
          </cell>
          <cell r="I204">
            <v>0</v>
          </cell>
          <cell r="J204">
            <v>8069</v>
          </cell>
          <cell r="K204">
            <v>58.3</v>
          </cell>
          <cell r="L204">
            <v>0</v>
          </cell>
          <cell r="M204">
            <v>152167</v>
          </cell>
        </row>
        <row r="205">
          <cell r="B205" t="str">
            <v>20410989G0600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</row>
        <row r="206">
          <cell r="B206" t="str">
            <v>20410989G0700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</row>
        <row r="207">
          <cell r="B207" t="str">
            <v>20410989G0800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</row>
        <row r="208">
          <cell r="B208" t="str">
            <v>20410989G0900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</row>
        <row r="209">
          <cell r="B209" t="str">
            <v>20410991G0100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</row>
        <row r="210">
          <cell r="B210" t="str">
            <v>20410991G0200</v>
          </cell>
          <cell r="E210">
            <v>0</v>
          </cell>
          <cell r="F210">
            <v>0</v>
          </cell>
          <cell r="G210">
            <v>128280</v>
          </cell>
          <cell r="H210">
            <v>0</v>
          </cell>
          <cell r="I210">
            <v>0</v>
          </cell>
          <cell r="J210">
            <v>7184</v>
          </cell>
          <cell r="K210">
            <v>51.9</v>
          </cell>
          <cell r="L210">
            <v>0</v>
          </cell>
          <cell r="M210">
            <v>135464</v>
          </cell>
        </row>
        <row r="211">
          <cell r="B211" t="str">
            <v>20410991G0300</v>
          </cell>
          <cell r="E211">
            <v>0</v>
          </cell>
          <cell r="F211">
            <v>0</v>
          </cell>
          <cell r="G211">
            <v>172770</v>
          </cell>
          <cell r="H211">
            <v>0</v>
          </cell>
          <cell r="I211">
            <v>0</v>
          </cell>
          <cell r="J211">
            <v>9675</v>
          </cell>
          <cell r="K211">
            <v>69.900000000000006</v>
          </cell>
          <cell r="L211">
            <v>0</v>
          </cell>
          <cell r="M211">
            <v>182445</v>
          </cell>
        </row>
        <row r="212">
          <cell r="B212" t="str">
            <v>20410991G0400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</row>
        <row r="213">
          <cell r="B213" t="str">
            <v>20410991G1300</v>
          </cell>
          <cell r="E213">
            <v>0</v>
          </cell>
          <cell r="F213">
            <v>0</v>
          </cell>
          <cell r="G213">
            <v>128280</v>
          </cell>
          <cell r="H213">
            <v>0</v>
          </cell>
          <cell r="I213">
            <v>0</v>
          </cell>
          <cell r="J213">
            <v>7184</v>
          </cell>
          <cell r="K213">
            <v>51.9</v>
          </cell>
          <cell r="L213">
            <v>0</v>
          </cell>
          <cell r="M213">
            <v>135464</v>
          </cell>
        </row>
        <row r="214">
          <cell r="B214" t="str">
            <v>20410991G1400</v>
          </cell>
          <cell r="E214">
            <v>0</v>
          </cell>
          <cell r="F214">
            <v>0</v>
          </cell>
          <cell r="G214">
            <v>128280</v>
          </cell>
          <cell r="H214">
            <v>0</v>
          </cell>
          <cell r="I214">
            <v>0</v>
          </cell>
          <cell r="J214">
            <v>7184</v>
          </cell>
          <cell r="K214">
            <v>51.9</v>
          </cell>
          <cell r="L214">
            <v>0</v>
          </cell>
          <cell r="M214">
            <v>135464</v>
          </cell>
        </row>
        <row r="215">
          <cell r="B215" t="str">
            <v>20410991G1500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</row>
        <row r="216">
          <cell r="B216" t="str">
            <v>20410991G1600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</row>
        <row r="217">
          <cell r="B217" t="str">
            <v>20410991G2900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</row>
        <row r="218">
          <cell r="B218" t="str">
            <v>20410991G3000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</row>
        <row r="219">
          <cell r="B219" t="str">
            <v>20410991G3100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</row>
        <row r="220">
          <cell r="B220" t="str">
            <v>20410991G3200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</row>
        <row r="221">
          <cell r="B221" t="str">
            <v>20410991G4100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</row>
        <row r="222">
          <cell r="B222" t="str">
            <v>20410991G4200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</row>
        <row r="223">
          <cell r="B223" t="str">
            <v>20410991G4300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B224" t="str">
            <v>20410991G4400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</row>
        <row r="225">
          <cell r="B225" t="str">
            <v>20411101G0100</v>
          </cell>
          <cell r="E225">
            <v>0</v>
          </cell>
          <cell r="F225">
            <v>0</v>
          </cell>
          <cell r="G225">
            <v>144098</v>
          </cell>
          <cell r="H225">
            <v>0</v>
          </cell>
          <cell r="I225">
            <v>0</v>
          </cell>
          <cell r="J225">
            <v>8069</v>
          </cell>
          <cell r="K225">
            <v>58.3</v>
          </cell>
          <cell r="L225">
            <v>0</v>
          </cell>
          <cell r="M225">
            <v>152167</v>
          </cell>
        </row>
        <row r="226">
          <cell r="B226" t="str">
            <v>20411101G0200</v>
          </cell>
          <cell r="E226">
            <v>0</v>
          </cell>
          <cell r="F226">
            <v>0</v>
          </cell>
          <cell r="G226">
            <v>144098</v>
          </cell>
          <cell r="H226">
            <v>0</v>
          </cell>
          <cell r="I226">
            <v>0</v>
          </cell>
          <cell r="J226">
            <v>8069</v>
          </cell>
          <cell r="K226">
            <v>58.3</v>
          </cell>
          <cell r="L226">
            <v>0</v>
          </cell>
          <cell r="M226">
            <v>152167</v>
          </cell>
        </row>
        <row r="227">
          <cell r="B227" t="str">
            <v>20411101G0300</v>
          </cell>
          <cell r="E227">
            <v>0</v>
          </cell>
          <cell r="F227">
            <v>0</v>
          </cell>
          <cell r="G227">
            <v>144098</v>
          </cell>
          <cell r="H227">
            <v>0</v>
          </cell>
          <cell r="I227">
            <v>0</v>
          </cell>
          <cell r="J227">
            <v>8069</v>
          </cell>
          <cell r="K227">
            <v>58.3</v>
          </cell>
          <cell r="L227">
            <v>0</v>
          </cell>
          <cell r="M227">
            <v>152167</v>
          </cell>
        </row>
        <row r="228">
          <cell r="B228" t="str">
            <v>20411101G0400</v>
          </cell>
          <cell r="E228">
            <v>0</v>
          </cell>
          <cell r="F228">
            <v>0</v>
          </cell>
          <cell r="G228">
            <v>144098</v>
          </cell>
          <cell r="H228">
            <v>0</v>
          </cell>
          <cell r="I228">
            <v>0</v>
          </cell>
          <cell r="J228">
            <v>8069</v>
          </cell>
          <cell r="K228">
            <v>58.3</v>
          </cell>
          <cell r="L228">
            <v>0</v>
          </cell>
          <cell r="M228">
            <v>152167</v>
          </cell>
        </row>
        <row r="229">
          <cell r="B229" t="str">
            <v>20411101G0600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</row>
        <row r="230">
          <cell r="B230" t="str">
            <v>20411101G0700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</row>
        <row r="231">
          <cell r="B231" t="str">
            <v>20411101G0800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</row>
        <row r="232">
          <cell r="B232" t="str">
            <v>20411101G0900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</row>
        <row r="233">
          <cell r="B233" t="str">
            <v>20411103G0100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</row>
        <row r="234">
          <cell r="B234" t="str">
            <v>20411103G0200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</row>
        <row r="235">
          <cell r="B235" t="str">
            <v>20411103G0300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</row>
        <row r="236">
          <cell r="B236" t="str">
            <v>20411103G0400</v>
          </cell>
          <cell r="E236">
            <v>0</v>
          </cell>
          <cell r="F236">
            <v>0</v>
          </cell>
          <cell r="G236">
            <v>144098</v>
          </cell>
          <cell r="H236">
            <v>0</v>
          </cell>
          <cell r="I236">
            <v>0</v>
          </cell>
          <cell r="J236">
            <v>8069</v>
          </cell>
          <cell r="K236">
            <v>58.3</v>
          </cell>
          <cell r="L236">
            <v>0</v>
          </cell>
          <cell r="M236">
            <v>152167</v>
          </cell>
        </row>
        <row r="237">
          <cell r="B237" t="str">
            <v>20411103G0600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</row>
        <row r="238">
          <cell r="B238" t="str">
            <v>20411103G0700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</row>
        <row r="239">
          <cell r="B239" t="str">
            <v>20411103G0800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</row>
        <row r="240">
          <cell r="B240" t="str">
            <v>20411103G0900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</row>
        <row r="241">
          <cell r="B241" t="str">
            <v>20411105G0100</v>
          </cell>
          <cell r="E241">
            <v>0</v>
          </cell>
          <cell r="F241">
            <v>0</v>
          </cell>
          <cell r="G241">
            <v>172770</v>
          </cell>
          <cell r="H241">
            <v>0</v>
          </cell>
          <cell r="I241">
            <v>0</v>
          </cell>
          <cell r="J241">
            <v>9675</v>
          </cell>
          <cell r="K241">
            <v>69.900000000000006</v>
          </cell>
          <cell r="L241">
            <v>0</v>
          </cell>
          <cell r="M241">
            <v>182445</v>
          </cell>
        </row>
        <row r="242">
          <cell r="B242" t="str">
            <v>20411105G0200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</row>
        <row r="243">
          <cell r="B243" t="str">
            <v>20411105G0300</v>
          </cell>
          <cell r="E243">
            <v>0</v>
          </cell>
          <cell r="F243">
            <v>0</v>
          </cell>
          <cell r="G243">
            <v>172770</v>
          </cell>
          <cell r="H243">
            <v>0</v>
          </cell>
          <cell r="I243">
            <v>0</v>
          </cell>
          <cell r="J243">
            <v>9675</v>
          </cell>
          <cell r="K243">
            <v>69.900000000000006</v>
          </cell>
          <cell r="L243">
            <v>0</v>
          </cell>
          <cell r="M243">
            <v>182445</v>
          </cell>
        </row>
        <row r="244">
          <cell r="B244" t="str">
            <v>20411105G0400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</row>
        <row r="245">
          <cell r="B245" t="str">
            <v>20411105G0600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</row>
        <row r="246">
          <cell r="B246" t="str">
            <v>20411105G0700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</row>
        <row r="247">
          <cell r="B247" t="str">
            <v>20411105G0800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</row>
        <row r="248">
          <cell r="B248" t="str">
            <v>20411105G0900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</row>
        <row r="249">
          <cell r="B249" t="str">
            <v>20411105G1100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</row>
        <row r="250">
          <cell r="B250" t="str">
            <v>20411105G1200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</row>
        <row r="251">
          <cell r="B251" t="str">
            <v>20411105G1300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</row>
        <row r="252">
          <cell r="B252" t="str">
            <v>20411105G1400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</row>
        <row r="253">
          <cell r="B253" t="str">
            <v>20411105G1600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</row>
        <row r="254">
          <cell r="B254" t="str">
            <v>20411105G1700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</row>
        <row r="255">
          <cell r="B255" t="str">
            <v>20411105G1800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</row>
        <row r="256">
          <cell r="B256" t="str">
            <v>20411105G1900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</row>
        <row r="257">
          <cell r="B257" t="str">
            <v>20411105G2100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</row>
        <row r="258">
          <cell r="B258" t="str">
            <v>20411105G2200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</row>
        <row r="259">
          <cell r="B259" t="str">
            <v>20411105G2300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</row>
        <row r="260">
          <cell r="B260" t="str">
            <v>20411105G2400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</row>
        <row r="261">
          <cell r="B261" t="str">
            <v>20411105G2600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</row>
        <row r="262">
          <cell r="B262" t="str">
            <v>20411105G2700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</row>
        <row r="263">
          <cell r="B263" t="str">
            <v>20411105G2800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</row>
        <row r="264">
          <cell r="B264" t="str">
            <v>20411105G2900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</row>
        <row r="265">
          <cell r="B265" t="str">
            <v>20411105G3600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</row>
        <row r="266">
          <cell r="B266" t="str">
            <v>20411105G3700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</row>
        <row r="267">
          <cell r="B267" t="str">
            <v>20411105G3800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</row>
        <row r="268">
          <cell r="B268" t="str">
            <v>20411105G3900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</row>
        <row r="269">
          <cell r="B269" t="str">
            <v>20411105G4100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</row>
        <row r="270">
          <cell r="B270" t="str">
            <v>20411105G4200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</row>
        <row r="271">
          <cell r="B271" t="str">
            <v>20411105G4300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</row>
        <row r="272">
          <cell r="B272" t="str">
            <v>20411105G4400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</row>
        <row r="273">
          <cell r="B273" t="str">
            <v>20411105G4600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</row>
        <row r="274">
          <cell r="B274" t="str">
            <v>20411105G4700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</row>
        <row r="275">
          <cell r="B275" t="str">
            <v>20411105G4800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</row>
        <row r="276">
          <cell r="B276" t="str">
            <v>20411105G4900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</row>
        <row r="277">
          <cell r="B277" t="str">
            <v>20411105G5100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</row>
        <row r="278">
          <cell r="B278" t="str">
            <v>20411105G5200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</row>
        <row r="279">
          <cell r="B279" t="str">
            <v>20411105G5300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</row>
        <row r="280">
          <cell r="B280" t="str">
            <v>20411105G5400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</row>
        <row r="281">
          <cell r="B281" t="str">
            <v>20411105G5600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</row>
        <row r="282">
          <cell r="B282" t="str">
            <v>20411105G5700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</row>
        <row r="283">
          <cell r="B283" t="str">
            <v>20411105G5800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</row>
        <row r="284">
          <cell r="B284" t="str">
            <v>20411105G5900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</row>
        <row r="285">
          <cell r="B285" t="str">
            <v>20411105G6100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</row>
        <row r="286">
          <cell r="B286" t="str">
            <v>20411105G6200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</row>
        <row r="287">
          <cell r="B287" t="str">
            <v>20411105G6300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</row>
        <row r="288">
          <cell r="B288" t="str">
            <v>20411105G6400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</row>
        <row r="289">
          <cell r="B289" t="str">
            <v>20411311G0100</v>
          </cell>
          <cell r="E289">
            <v>0</v>
          </cell>
          <cell r="F289">
            <v>0</v>
          </cell>
          <cell r="G289">
            <v>148053</v>
          </cell>
          <cell r="H289">
            <v>0</v>
          </cell>
          <cell r="I289">
            <v>0</v>
          </cell>
          <cell r="J289">
            <v>8291</v>
          </cell>
          <cell r="K289">
            <v>59.9</v>
          </cell>
          <cell r="L289">
            <v>0</v>
          </cell>
          <cell r="M289">
            <v>156344</v>
          </cell>
        </row>
        <row r="290">
          <cell r="B290" t="str">
            <v>20411311G0200</v>
          </cell>
          <cell r="E290">
            <v>0</v>
          </cell>
          <cell r="F290">
            <v>0</v>
          </cell>
          <cell r="G290">
            <v>148053</v>
          </cell>
          <cell r="H290">
            <v>0</v>
          </cell>
          <cell r="I290">
            <v>0</v>
          </cell>
          <cell r="J290">
            <v>8291</v>
          </cell>
          <cell r="K290">
            <v>59.9</v>
          </cell>
          <cell r="L290">
            <v>0</v>
          </cell>
          <cell r="M290">
            <v>156344</v>
          </cell>
        </row>
        <row r="291">
          <cell r="B291" t="str">
            <v>20411311G0300</v>
          </cell>
          <cell r="E291">
            <v>0</v>
          </cell>
          <cell r="F291">
            <v>0</v>
          </cell>
          <cell r="G291">
            <v>148053</v>
          </cell>
          <cell r="H291">
            <v>0</v>
          </cell>
          <cell r="I291">
            <v>0</v>
          </cell>
          <cell r="J291">
            <v>8291</v>
          </cell>
          <cell r="K291">
            <v>59.9</v>
          </cell>
          <cell r="L291">
            <v>0</v>
          </cell>
          <cell r="M291">
            <v>156344</v>
          </cell>
        </row>
        <row r="292">
          <cell r="B292" t="str">
            <v>20411311G0400</v>
          </cell>
          <cell r="E292">
            <v>0</v>
          </cell>
          <cell r="F292">
            <v>0</v>
          </cell>
          <cell r="G292">
            <v>148053</v>
          </cell>
          <cell r="H292">
            <v>0</v>
          </cell>
          <cell r="I292">
            <v>0</v>
          </cell>
          <cell r="J292">
            <v>8291</v>
          </cell>
          <cell r="K292">
            <v>59.9</v>
          </cell>
          <cell r="L292">
            <v>0</v>
          </cell>
          <cell r="M292">
            <v>156344</v>
          </cell>
        </row>
        <row r="293">
          <cell r="B293" t="str">
            <v>20401508G0100</v>
          </cell>
          <cell r="E293">
            <v>28470</v>
          </cell>
          <cell r="F293">
            <v>427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28897</v>
          </cell>
        </row>
        <row r="294">
          <cell r="B294" t="str">
            <v>20411025G0100</v>
          </cell>
          <cell r="E294">
            <v>97000</v>
          </cell>
          <cell r="F294">
            <v>1455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98455</v>
          </cell>
        </row>
        <row r="295">
          <cell r="B295" t="str">
            <v>20302071G0100</v>
          </cell>
          <cell r="E295">
            <v>1136697</v>
          </cell>
          <cell r="F295">
            <v>17050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1153747</v>
          </cell>
        </row>
        <row r="296">
          <cell r="B296" t="str">
            <v>20302071P0100</v>
          </cell>
          <cell r="E296">
            <v>0</v>
          </cell>
          <cell r="F296">
            <v>0</v>
          </cell>
          <cell r="G296">
            <v>45528</v>
          </cell>
          <cell r="H296">
            <v>0</v>
          </cell>
          <cell r="I296">
            <v>0</v>
          </cell>
          <cell r="J296">
            <v>2550</v>
          </cell>
          <cell r="K296">
            <v>18.420000000000002</v>
          </cell>
          <cell r="L296">
            <v>0</v>
          </cell>
          <cell r="M296">
            <v>48078</v>
          </cell>
        </row>
        <row r="297">
          <cell r="B297" t="str">
            <v>20302159G0200</v>
          </cell>
          <cell r="E297">
            <v>698864</v>
          </cell>
          <cell r="F297">
            <v>10482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709346</v>
          </cell>
        </row>
        <row r="298">
          <cell r="B298" t="str">
            <v>20302159G0400</v>
          </cell>
          <cell r="E298">
            <v>698864</v>
          </cell>
          <cell r="F298">
            <v>10482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709346</v>
          </cell>
        </row>
        <row r="299">
          <cell r="B299" t="str">
            <v>20302160G0100</v>
          </cell>
          <cell r="E299">
            <v>711429</v>
          </cell>
          <cell r="F299">
            <v>10671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722100</v>
          </cell>
        </row>
        <row r="300">
          <cell r="B300" t="str">
            <v>20302160G0200</v>
          </cell>
          <cell r="E300">
            <v>734915</v>
          </cell>
          <cell r="F300">
            <v>11023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745938</v>
          </cell>
        </row>
        <row r="301">
          <cell r="B301" t="str">
            <v>20302160G0300</v>
          </cell>
          <cell r="E301">
            <v>711429</v>
          </cell>
          <cell r="F301">
            <v>10671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722100</v>
          </cell>
        </row>
        <row r="302">
          <cell r="B302" t="str">
            <v>20302160G0400</v>
          </cell>
          <cell r="E302">
            <v>734915</v>
          </cell>
          <cell r="F302">
            <v>11023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745938</v>
          </cell>
        </row>
        <row r="303">
          <cell r="B303" t="str">
            <v>20302161G0100</v>
          </cell>
          <cell r="E303">
            <v>876277</v>
          </cell>
          <cell r="F303">
            <v>13144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889421</v>
          </cell>
        </row>
        <row r="304">
          <cell r="B304" t="str">
            <v>20302161G0200</v>
          </cell>
          <cell r="E304">
            <v>876277</v>
          </cell>
          <cell r="F304">
            <v>13144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889421</v>
          </cell>
        </row>
        <row r="305">
          <cell r="B305" t="str">
            <v>20302162G0100</v>
          </cell>
          <cell r="E305">
            <v>1094605</v>
          </cell>
          <cell r="F305">
            <v>16419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1111024</v>
          </cell>
        </row>
        <row r="306">
          <cell r="B306" t="str">
            <v>20302162G0200</v>
          </cell>
          <cell r="E306">
            <v>1116196</v>
          </cell>
          <cell r="F306">
            <v>16742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1132938</v>
          </cell>
        </row>
        <row r="307">
          <cell r="B307" t="str">
            <v>20302162G0300</v>
          </cell>
          <cell r="E307">
            <v>1126532</v>
          </cell>
          <cell r="F307">
            <v>16897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1143429</v>
          </cell>
        </row>
        <row r="308">
          <cell r="B308" t="str">
            <v>20302162G0400</v>
          </cell>
          <cell r="E308">
            <v>1094605</v>
          </cell>
          <cell r="F308">
            <v>16419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1111024</v>
          </cell>
        </row>
        <row r="309">
          <cell r="B309" t="str">
            <v>20302162G0500</v>
          </cell>
          <cell r="E309">
            <v>1116196</v>
          </cell>
          <cell r="F309">
            <v>16742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1132938</v>
          </cell>
        </row>
        <row r="310">
          <cell r="B310" t="str">
            <v>20302162G0600</v>
          </cell>
          <cell r="E310">
            <v>1126532</v>
          </cell>
          <cell r="F310">
            <v>16897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1143429</v>
          </cell>
        </row>
        <row r="311">
          <cell r="B311" t="str">
            <v>20302163G0100</v>
          </cell>
          <cell r="E311">
            <v>1761480</v>
          </cell>
          <cell r="F311">
            <v>26422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1787902</v>
          </cell>
        </row>
        <row r="312">
          <cell r="B312" t="str">
            <v>20302163G0300</v>
          </cell>
          <cell r="E312">
            <v>1761480</v>
          </cell>
          <cell r="F312">
            <v>26422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1787902</v>
          </cell>
        </row>
        <row r="313">
          <cell r="B313" t="str">
            <v>20302159P0200</v>
          </cell>
          <cell r="E313">
            <v>0</v>
          </cell>
          <cell r="F313">
            <v>0</v>
          </cell>
          <cell r="G313">
            <v>32329</v>
          </cell>
          <cell r="H313">
            <v>0</v>
          </cell>
          <cell r="I313">
            <v>0</v>
          </cell>
          <cell r="J313">
            <v>1810</v>
          </cell>
          <cell r="K313">
            <v>13.08</v>
          </cell>
          <cell r="L313">
            <v>0</v>
          </cell>
          <cell r="M313">
            <v>34139</v>
          </cell>
        </row>
        <row r="314">
          <cell r="B314" t="str">
            <v>20302160P0100</v>
          </cell>
          <cell r="E314">
            <v>0</v>
          </cell>
          <cell r="F314">
            <v>0</v>
          </cell>
          <cell r="G314">
            <v>32329</v>
          </cell>
          <cell r="H314">
            <v>0</v>
          </cell>
          <cell r="I314">
            <v>0</v>
          </cell>
          <cell r="J314">
            <v>1810</v>
          </cell>
          <cell r="K314">
            <v>13.08</v>
          </cell>
          <cell r="L314">
            <v>0</v>
          </cell>
          <cell r="M314">
            <v>34139</v>
          </cell>
        </row>
        <row r="315">
          <cell r="B315" t="str">
            <v>20302160P0200</v>
          </cell>
          <cell r="E315">
            <v>0</v>
          </cell>
          <cell r="F315">
            <v>0</v>
          </cell>
          <cell r="G315">
            <v>32329</v>
          </cell>
          <cell r="H315">
            <v>0</v>
          </cell>
          <cell r="I315">
            <v>0</v>
          </cell>
          <cell r="J315">
            <v>1810</v>
          </cell>
          <cell r="K315">
            <v>13.08</v>
          </cell>
          <cell r="L315">
            <v>0</v>
          </cell>
          <cell r="M315">
            <v>34139</v>
          </cell>
        </row>
        <row r="316">
          <cell r="B316" t="str">
            <v>20302161P0100</v>
          </cell>
          <cell r="E316">
            <v>0</v>
          </cell>
          <cell r="F316">
            <v>0</v>
          </cell>
          <cell r="G316">
            <v>39744</v>
          </cell>
          <cell r="H316">
            <v>0</v>
          </cell>
          <cell r="I316">
            <v>0</v>
          </cell>
          <cell r="J316">
            <v>2226</v>
          </cell>
          <cell r="K316">
            <v>16.079999999999998</v>
          </cell>
          <cell r="L316">
            <v>0</v>
          </cell>
          <cell r="M316">
            <v>41970</v>
          </cell>
        </row>
        <row r="317">
          <cell r="B317" t="str">
            <v>20302159P1000</v>
          </cell>
          <cell r="E317">
            <v>0</v>
          </cell>
          <cell r="F317">
            <v>0</v>
          </cell>
          <cell r="G317">
            <v>32329</v>
          </cell>
          <cell r="H317">
            <v>0</v>
          </cell>
          <cell r="I317">
            <v>0</v>
          </cell>
          <cell r="J317">
            <v>1810</v>
          </cell>
          <cell r="K317">
            <v>13.08</v>
          </cell>
          <cell r="L317">
            <v>0</v>
          </cell>
          <cell r="M317">
            <v>34139</v>
          </cell>
        </row>
        <row r="318">
          <cell r="B318" t="str">
            <v>20302160P0900</v>
          </cell>
          <cell r="E318">
            <v>0</v>
          </cell>
          <cell r="F318">
            <v>0</v>
          </cell>
          <cell r="G318">
            <v>32329</v>
          </cell>
          <cell r="H318">
            <v>0</v>
          </cell>
          <cell r="I318">
            <v>0</v>
          </cell>
          <cell r="J318">
            <v>1810</v>
          </cell>
          <cell r="K318">
            <v>13.08</v>
          </cell>
          <cell r="L318">
            <v>0</v>
          </cell>
          <cell r="M318">
            <v>34139</v>
          </cell>
        </row>
        <row r="319">
          <cell r="B319" t="str">
            <v>20302160P1000</v>
          </cell>
          <cell r="E319">
            <v>0</v>
          </cell>
          <cell r="F319">
            <v>0</v>
          </cell>
          <cell r="G319">
            <v>32329</v>
          </cell>
          <cell r="H319">
            <v>0</v>
          </cell>
          <cell r="I319">
            <v>0</v>
          </cell>
          <cell r="J319">
            <v>1810</v>
          </cell>
          <cell r="K319">
            <v>13.08</v>
          </cell>
          <cell r="L319">
            <v>0</v>
          </cell>
          <cell r="M319">
            <v>34139</v>
          </cell>
        </row>
        <row r="320">
          <cell r="B320" t="str">
            <v>20302161P0500</v>
          </cell>
          <cell r="E320">
            <v>0</v>
          </cell>
          <cell r="F320">
            <v>0</v>
          </cell>
          <cell r="G320">
            <v>39744</v>
          </cell>
          <cell r="H320">
            <v>0</v>
          </cell>
          <cell r="I320">
            <v>0</v>
          </cell>
          <cell r="J320">
            <v>2226</v>
          </cell>
          <cell r="K320">
            <v>16.079999999999998</v>
          </cell>
          <cell r="L320">
            <v>0</v>
          </cell>
          <cell r="M320">
            <v>41970</v>
          </cell>
        </row>
        <row r="321">
          <cell r="B321" t="str">
            <v>20411310G0100</v>
          </cell>
          <cell r="E321">
            <v>0</v>
          </cell>
          <cell r="F321">
            <v>0</v>
          </cell>
          <cell r="G321">
            <v>148053</v>
          </cell>
          <cell r="H321">
            <v>0</v>
          </cell>
          <cell r="I321">
            <v>0</v>
          </cell>
          <cell r="J321">
            <v>8291</v>
          </cell>
          <cell r="K321">
            <v>59.9</v>
          </cell>
          <cell r="L321">
            <v>0</v>
          </cell>
          <cell r="M321">
            <v>156344</v>
          </cell>
        </row>
        <row r="322">
          <cell r="B322" t="str">
            <v>20411310G0200</v>
          </cell>
          <cell r="E322">
            <v>0</v>
          </cell>
          <cell r="F322">
            <v>0</v>
          </cell>
          <cell r="G322">
            <v>148053</v>
          </cell>
          <cell r="H322">
            <v>0</v>
          </cell>
          <cell r="I322">
            <v>0</v>
          </cell>
          <cell r="J322">
            <v>8291</v>
          </cell>
          <cell r="K322">
            <v>59.9</v>
          </cell>
          <cell r="L322">
            <v>0</v>
          </cell>
          <cell r="M322">
            <v>156344</v>
          </cell>
        </row>
        <row r="323">
          <cell r="B323" t="str">
            <v>20411310G0300</v>
          </cell>
          <cell r="E323">
            <v>0</v>
          </cell>
          <cell r="F323">
            <v>0</v>
          </cell>
          <cell r="G323">
            <v>148053</v>
          </cell>
          <cell r="H323">
            <v>0</v>
          </cell>
          <cell r="I323">
            <v>0</v>
          </cell>
          <cell r="J323">
            <v>8291</v>
          </cell>
          <cell r="K323">
            <v>59.9</v>
          </cell>
          <cell r="L323">
            <v>0</v>
          </cell>
          <cell r="M323">
            <v>156344</v>
          </cell>
        </row>
        <row r="324">
          <cell r="B324" t="str">
            <v>20411310G0400</v>
          </cell>
          <cell r="E324">
            <v>0</v>
          </cell>
          <cell r="F324">
            <v>0</v>
          </cell>
          <cell r="G324">
            <v>148053</v>
          </cell>
          <cell r="H324">
            <v>0</v>
          </cell>
          <cell r="I324">
            <v>0</v>
          </cell>
          <cell r="J324">
            <v>8291</v>
          </cell>
          <cell r="K324">
            <v>59.9</v>
          </cell>
          <cell r="L324">
            <v>0</v>
          </cell>
          <cell r="M324">
            <v>156344</v>
          </cell>
        </row>
        <row r="325">
          <cell r="B325" t="str">
            <v>HX045008H0400</v>
          </cell>
          <cell r="E325">
            <v>155562</v>
          </cell>
          <cell r="F325">
            <v>2333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157895</v>
          </cell>
        </row>
        <row r="326">
          <cell r="B326" t="str">
            <v>HX045007H0100</v>
          </cell>
          <cell r="E326">
            <v>48542</v>
          </cell>
          <cell r="F326">
            <v>728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49270</v>
          </cell>
        </row>
        <row r="327">
          <cell r="B327" t="str">
            <v>HX045007H0300</v>
          </cell>
          <cell r="E327">
            <v>55720</v>
          </cell>
          <cell r="F327">
            <v>835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56555</v>
          </cell>
        </row>
        <row r="328">
          <cell r="B328" t="str">
            <v>HX045007H0500</v>
          </cell>
          <cell r="E328">
            <v>63954</v>
          </cell>
          <cell r="F328">
            <v>959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64913</v>
          </cell>
        </row>
        <row r="329">
          <cell r="B329" t="str">
            <v>HX045008H0100</v>
          </cell>
          <cell r="E329">
            <v>122324</v>
          </cell>
          <cell r="F329">
            <v>1834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124158</v>
          </cell>
        </row>
        <row r="330">
          <cell r="B330" t="str">
            <v>HX045016H0100</v>
          </cell>
          <cell r="E330">
            <v>155450</v>
          </cell>
          <cell r="F330">
            <v>2331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157781</v>
          </cell>
        </row>
        <row r="331">
          <cell r="B331" t="str">
            <v>HX045016H0300</v>
          </cell>
          <cell r="E331">
            <v>107690</v>
          </cell>
          <cell r="F331">
            <v>1615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109305</v>
          </cell>
        </row>
        <row r="332">
          <cell r="B332" t="str">
            <v>HX045019H0100</v>
          </cell>
          <cell r="E332">
            <v>73390</v>
          </cell>
          <cell r="F332">
            <v>1100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74490</v>
          </cell>
        </row>
        <row r="333">
          <cell r="B333" t="str">
            <v>HX062002H0900</v>
          </cell>
          <cell r="E333">
            <v>34000</v>
          </cell>
          <cell r="F333">
            <v>510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34510</v>
          </cell>
        </row>
        <row r="334">
          <cell r="B334" t="str">
            <v>HX062002H1000</v>
          </cell>
          <cell r="E334">
            <v>34000</v>
          </cell>
          <cell r="F334">
            <v>510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34510</v>
          </cell>
        </row>
        <row r="335">
          <cell r="B335" t="str">
            <v>HX062002H1100</v>
          </cell>
          <cell r="E335">
            <v>34000</v>
          </cell>
          <cell r="F335">
            <v>510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34510</v>
          </cell>
        </row>
        <row r="336">
          <cell r="B336" t="str">
            <v>HX062002H1300</v>
          </cell>
          <cell r="E336">
            <v>36000</v>
          </cell>
          <cell r="F336">
            <v>540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36540</v>
          </cell>
        </row>
        <row r="337">
          <cell r="B337" t="str">
            <v>HX062002H2000</v>
          </cell>
          <cell r="E337">
            <v>20500</v>
          </cell>
          <cell r="F337">
            <v>307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20807</v>
          </cell>
        </row>
        <row r="338">
          <cell r="B338" t="str">
            <v>HX062002H3000</v>
          </cell>
          <cell r="E338">
            <v>20500</v>
          </cell>
          <cell r="F338">
            <v>307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20807</v>
          </cell>
        </row>
        <row r="339">
          <cell r="B339" t="str">
            <v>HX062002H4000</v>
          </cell>
          <cell r="E339">
            <v>20500</v>
          </cell>
          <cell r="F339">
            <v>307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20807</v>
          </cell>
        </row>
        <row r="340">
          <cell r="B340" t="str">
            <v>HX062002H7500</v>
          </cell>
          <cell r="E340">
            <v>26400</v>
          </cell>
          <cell r="F340">
            <v>396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26796</v>
          </cell>
        </row>
        <row r="341">
          <cell r="B341" t="str">
            <v>HX062014H2000</v>
          </cell>
          <cell r="E341">
            <v>25500</v>
          </cell>
          <cell r="F341">
            <v>382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25882</v>
          </cell>
        </row>
        <row r="342">
          <cell r="B342" t="str">
            <v>HX062014H3000</v>
          </cell>
          <cell r="E342">
            <v>25500</v>
          </cell>
          <cell r="F342">
            <v>382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25882</v>
          </cell>
        </row>
        <row r="343">
          <cell r="B343" t="str">
            <v>HX062014H4000</v>
          </cell>
          <cell r="E343">
            <v>25500</v>
          </cell>
          <cell r="F343">
            <v>382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25882</v>
          </cell>
        </row>
        <row r="344">
          <cell r="B344" t="str">
            <v>HX062014H6000</v>
          </cell>
          <cell r="E344">
            <v>28000</v>
          </cell>
          <cell r="F344">
            <v>420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28420</v>
          </cell>
        </row>
        <row r="345">
          <cell r="B345" t="str">
            <v>20610102G0100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</row>
        <row r="346">
          <cell r="B346" t="str">
            <v>20610102G0300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</row>
        <row r="347">
          <cell r="B347" t="str">
            <v>20410515G0200</v>
          </cell>
          <cell r="E347">
            <v>300</v>
          </cell>
          <cell r="F347">
            <v>4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304</v>
          </cell>
        </row>
        <row r="348">
          <cell r="B348" t="str">
            <v>HX001064H0400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</row>
        <row r="349">
          <cell r="B349" t="str">
            <v>HX062012G0100</v>
          </cell>
          <cell r="E349">
            <v>800</v>
          </cell>
          <cell r="F349">
            <v>12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812</v>
          </cell>
        </row>
        <row r="350">
          <cell r="B350" t="str">
            <v>20410237G0100</v>
          </cell>
          <cell r="E350">
            <v>12800</v>
          </cell>
          <cell r="F350">
            <v>192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12992</v>
          </cell>
        </row>
        <row r="351">
          <cell r="B351" t="str">
            <v>20400790G0200</v>
          </cell>
          <cell r="E351">
            <v>55560</v>
          </cell>
          <cell r="F351">
            <v>833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56393</v>
          </cell>
        </row>
        <row r="352">
          <cell r="B352" t="str">
            <v>20400900G0500</v>
          </cell>
          <cell r="E352">
            <v>30300</v>
          </cell>
          <cell r="F352">
            <v>454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30754</v>
          </cell>
        </row>
        <row r="353">
          <cell r="B353" t="str">
            <v>20600093G0100</v>
          </cell>
          <cell r="E353">
            <v>6730</v>
          </cell>
          <cell r="F353">
            <v>100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6830</v>
          </cell>
        </row>
        <row r="354">
          <cell r="B354" t="str">
            <v>HX045016H0200</v>
          </cell>
          <cell r="E354">
            <v>130120</v>
          </cell>
          <cell r="F354">
            <v>1951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132071</v>
          </cell>
        </row>
        <row r="355">
          <cell r="B355" t="str">
            <v>20401225G1800</v>
          </cell>
          <cell r="E355">
            <v>114660</v>
          </cell>
          <cell r="F355">
            <v>1719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116379</v>
          </cell>
        </row>
        <row r="356">
          <cell r="B356" t="str">
            <v>20401225G0100</v>
          </cell>
          <cell r="E356">
            <v>46156</v>
          </cell>
          <cell r="F356">
            <v>692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46848</v>
          </cell>
        </row>
        <row r="357">
          <cell r="B357" t="str">
            <v>20401225G0300</v>
          </cell>
          <cell r="E357">
            <v>68000</v>
          </cell>
          <cell r="F357">
            <v>1020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69020</v>
          </cell>
        </row>
        <row r="358">
          <cell r="B358" t="str">
            <v>20401225G0400</v>
          </cell>
          <cell r="E358">
            <v>84544</v>
          </cell>
          <cell r="F358">
            <v>1268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85812</v>
          </cell>
        </row>
        <row r="359">
          <cell r="B359" t="str">
            <v>20401225G0600</v>
          </cell>
          <cell r="E359">
            <v>46156</v>
          </cell>
          <cell r="F359">
            <v>692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46848</v>
          </cell>
        </row>
        <row r="360">
          <cell r="B360" t="str">
            <v>20401225G0800</v>
          </cell>
          <cell r="E360">
            <v>66690</v>
          </cell>
          <cell r="F360">
            <v>1000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67690</v>
          </cell>
        </row>
        <row r="361">
          <cell r="B361" t="str">
            <v>20401225G0900</v>
          </cell>
          <cell r="E361">
            <v>84544</v>
          </cell>
          <cell r="F361">
            <v>1268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85812</v>
          </cell>
        </row>
        <row r="362">
          <cell r="B362" t="str">
            <v>20401225G1900</v>
          </cell>
          <cell r="E362">
            <v>114660</v>
          </cell>
          <cell r="F362">
            <v>1719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116379</v>
          </cell>
        </row>
        <row r="363">
          <cell r="B363" t="str">
            <v>20410388G0300</v>
          </cell>
          <cell r="E363">
            <v>264420</v>
          </cell>
          <cell r="F363">
            <v>3966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268386</v>
          </cell>
        </row>
        <row r="364">
          <cell r="B364" t="str">
            <v>20410451G0300</v>
          </cell>
          <cell r="E364">
            <v>66690</v>
          </cell>
          <cell r="F364">
            <v>1000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67690</v>
          </cell>
        </row>
        <row r="365">
          <cell r="B365" t="str">
            <v>20410451G0400</v>
          </cell>
          <cell r="E365">
            <v>66690</v>
          </cell>
          <cell r="F365">
            <v>1000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67690</v>
          </cell>
        </row>
        <row r="366">
          <cell r="B366" t="str">
            <v>20302166G0200</v>
          </cell>
          <cell r="E366">
            <v>698864</v>
          </cell>
          <cell r="F366">
            <v>10482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709346</v>
          </cell>
        </row>
        <row r="367">
          <cell r="B367" t="str">
            <v>20302166G0400</v>
          </cell>
          <cell r="E367">
            <v>698864</v>
          </cell>
          <cell r="F367">
            <v>10482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709346</v>
          </cell>
        </row>
        <row r="368">
          <cell r="B368" t="str">
            <v>20302167G0100</v>
          </cell>
          <cell r="E368">
            <v>711429</v>
          </cell>
          <cell r="F368">
            <v>10671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722100</v>
          </cell>
        </row>
        <row r="369">
          <cell r="B369" t="str">
            <v>20302167G0200</v>
          </cell>
          <cell r="E369">
            <v>734915</v>
          </cell>
          <cell r="F369">
            <v>11023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745938</v>
          </cell>
        </row>
        <row r="370">
          <cell r="B370" t="str">
            <v>20302167G0300</v>
          </cell>
          <cell r="E370">
            <v>711429</v>
          </cell>
          <cell r="F370">
            <v>10671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722100</v>
          </cell>
        </row>
        <row r="371">
          <cell r="B371" t="str">
            <v>20302167G0400</v>
          </cell>
          <cell r="E371">
            <v>734915</v>
          </cell>
          <cell r="F371">
            <v>11023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745938</v>
          </cell>
        </row>
        <row r="372">
          <cell r="B372" t="str">
            <v>20302168G0100</v>
          </cell>
          <cell r="E372">
            <v>876277</v>
          </cell>
          <cell r="F372">
            <v>13144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889421</v>
          </cell>
        </row>
        <row r="373">
          <cell r="B373" t="str">
            <v>20302168G0200</v>
          </cell>
          <cell r="E373">
            <v>876277</v>
          </cell>
          <cell r="F373">
            <v>13144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889421</v>
          </cell>
        </row>
        <row r="374">
          <cell r="B374" t="str">
            <v>20302169G0100</v>
          </cell>
          <cell r="E374">
            <v>1094605</v>
          </cell>
          <cell r="F374">
            <v>16419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1111024</v>
          </cell>
        </row>
        <row r="375">
          <cell r="B375" t="str">
            <v>20302169G0200</v>
          </cell>
          <cell r="E375">
            <v>1116196</v>
          </cell>
          <cell r="F375">
            <v>16742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1132938</v>
          </cell>
        </row>
        <row r="376">
          <cell r="B376" t="str">
            <v>20302169G0300</v>
          </cell>
          <cell r="E376">
            <v>1126532</v>
          </cell>
          <cell r="F376">
            <v>16897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1143429</v>
          </cell>
        </row>
        <row r="377">
          <cell r="B377" t="str">
            <v>20302169G0400</v>
          </cell>
          <cell r="E377">
            <v>1094605</v>
          </cell>
          <cell r="F377">
            <v>16419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1111024</v>
          </cell>
        </row>
        <row r="378">
          <cell r="B378" t="str">
            <v>20302169G0500</v>
          </cell>
          <cell r="E378">
            <v>1116196</v>
          </cell>
          <cell r="F378">
            <v>16742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1132938</v>
          </cell>
        </row>
        <row r="379">
          <cell r="B379" t="str">
            <v>20302169G0600</v>
          </cell>
          <cell r="E379">
            <v>1126532</v>
          </cell>
          <cell r="F379">
            <v>16897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1143429</v>
          </cell>
        </row>
        <row r="380">
          <cell r="B380" t="str">
            <v>20302170G0100</v>
          </cell>
          <cell r="E380">
            <v>1761480</v>
          </cell>
          <cell r="F380">
            <v>26422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1787902</v>
          </cell>
        </row>
        <row r="381">
          <cell r="B381" t="str">
            <v>20302170G0300</v>
          </cell>
          <cell r="E381">
            <v>1761480</v>
          </cell>
          <cell r="F381">
            <v>26422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1787902</v>
          </cell>
        </row>
        <row r="382">
          <cell r="B382" t="str">
            <v>20410089G0100</v>
          </cell>
          <cell r="E382">
            <v>10820</v>
          </cell>
          <cell r="F382">
            <v>162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10982</v>
          </cell>
        </row>
        <row r="383">
          <cell r="B383" t="str">
            <v>20410089G0600</v>
          </cell>
          <cell r="E383">
            <v>7500</v>
          </cell>
          <cell r="F383">
            <v>112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7612</v>
          </cell>
        </row>
        <row r="384">
          <cell r="B384" t="str">
            <v>20410089G0800</v>
          </cell>
          <cell r="E384">
            <v>9800</v>
          </cell>
          <cell r="F384">
            <v>147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9947</v>
          </cell>
        </row>
        <row r="385">
          <cell r="B385" t="str">
            <v>20401315G0200</v>
          </cell>
          <cell r="E385">
            <v>88767</v>
          </cell>
          <cell r="F385">
            <v>1331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90098</v>
          </cell>
        </row>
        <row r="386">
          <cell r="B386" t="str">
            <v>20401315G0300</v>
          </cell>
          <cell r="E386">
            <v>106197</v>
          </cell>
          <cell r="F386">
            <v>1592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107789</v>
          </cell>
        </row>
        <row r="387">
          <cell r="B387" t="str">
            <v>20410985G0100</v>
          </cell>
          <cell r="E387">
            <v>0</v>
          </cell>
          <cell r="F387">
            <v>0</v>
          </cell>
          <cell r="G387">
            <v>144098</v>
          </cell>
          <cell r="H387">
            <v>0</v>
          </cell>
          <cell r="I387">
            <v>0</v>
          </cell>
          <cell r="J387">
            <v>8069</v>
          </cell>
          <cell r="K387">
            <v>58.3</v>
          </cell>
          <cell r="L387">
            <v>0</v>
          </cell>
          <cell r="M387">
            <v>152167</v>
          </cell>
        </row>
        <row r="388">
          <cell r="B388" t="str">
            <v>20410985G0200</v>
          </cell>
          <cell r="E388">
            <v>0</v>
          </cell>
          <cell r="F388">
            <v>0</v>
          </cell>
          <cell r="G388">
            <v>144098</v>
          </cell>
          <cell r="H388">
            <v>0</v>
          </cell>
          <cell r="I388">
            <v>0</v>
          </cell>
          <cell r="J388">
            <v>8069</v>
          </cell>
          <cell r="K388">
            <v>58.3</v>
          </cell>
          <cell r="L388">
            <v>0</v>
          </cell>
          <cell r="M388">
            <v>152167</v>
          </cell>
        </row>
        <row r="389">
          <cell r="B389" t="str">
            <v>20410985G0300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</row>
        <row r="390">
          <cell r="B390" t="str">
            <v>20410985G0400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</row>
        <row r="391">
          <cell r="B391" t="str">
            <v>20410985G0600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</row>
        <row r="392">
          <cell r="B392" t="str">
            <v>20410985G0700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</row>
        <row r="393">
          <cell r="B393" t="str">
            <v>20410985G0800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</row>
        <row r="394">
          <cell r="B394" t="str">
            <v>20410985G0900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</row>
        <row r="395">
          <cell r="B395" t="str">
            <v>20411107G0100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</row>
        <row r="396">
          <cell r="B396" t="str">
            <v>20411107G0200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</row>
        <row r="397">
          <cell r="B397" t="str">
            <v>20411107G0300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</row>
        <row r="398">
          <cell r="B398" t="str">
            <v>20411107G0400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</row>
        <row r="399">
          <cell r="B399" t="str">
            <v>20411107G0500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</row>
        <row r="400">
          <cell r="B400" t="str">
            <v>20411107G0600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</row>
        <row r="401">
          <cell r="B401" t="str">
            <v>20411107G0700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</row>
        <row r="402">
          <cell r="B402" t="str">
            <v>20411107G0800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</row>
        <row r="403">
          <cell r="B403" t="str">
            <v>20411107G0900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</row>
        <row r="404">
          <cell r="B404" t="str">
            <v>20411107G1000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</row>
        <row r="405">
          <cell r="B405" t="str">
            <v>20411107G1100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</row>
        <row r="406">
          <cell r="B406" t="str">
            <v>20411107G1200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</row>
        <row r="407">
          <cell r="B407" t="str">
            <v>20411107G1300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</row>
        <row r="408">
          <cell r="B408" t="str">
            <v>20411107G1400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</row>
        <row r="409">
          <cell r="B409" t="str">
            <v>20411107G1500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</row>
        <row r="410">
          <cell r="B410" t="str">
            <v>20411107G1600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</row>
        <row r="411">
          <cell r="B411" t="str">
            <v>20411107G1700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</row>
        <row r="412">
          <cell r="B412" t="str">
            <v>20411107G1800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</row>
        <row r="413">
          <cell r="B413" t="str">
            <v>20411107G1900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</row>
        <row r="414">
          <cell r="B414" t="str">
            <v>20411107G2000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</row>
        <row r="415">
          <cell r="B415" t="str">
            <v>20411107G2100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</row>
        <row r="416">
          <cell r="B416" t="str">
            <v>20411107G2200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</row>
        <row r="417">
          <cell r="B417" t="str">
            <v>20411107G2300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</row>
        <row r="418">
          <cell r="B418" t="str">
            <v>20411107G2400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</row>
        <row r="419">
          <cell r="B419" t="str">
            <v>20411107G2900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</row>
        <row r="420">
          <cell r="B420" t="str">
            <v>20411107G3000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</row>
        <row r="421">
          <cell r="B421" t="str">
            <v>20411107G3100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</row>
        <row r="422">
          <cell r="B422" t="str">
            <v>20411107G3200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</row>
        <row r="423">
          <cell r="B423" t="str">
            <v>20411107G3300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</row>
        <row r="424">
          <cell r="B424" t="str">
            <v>20411107G3400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</row>
        <row r="425">
          <cell r="B425" t="str">
            <v>20411107G3500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</row>
        <row r="426">
          <cell r="B426" t="str">
            <v>20411107G3600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</row>
        <row r="427">
          <cell r="B427" t="str">
            <v>20411107G3700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</row>
        <row r="428">
          <cell r="B428" t="str">
            <v>20411107G3800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</row>
        <row r="429">
          <cell r="B429" t="str">
            <v>20411107G3900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</row>
        <row r="430">
          <cell r="B430" t="str">
            <v>20411107G4000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</row>
        <row r="431">
          <cell r="B431" t="str">
            <v>20411107G4100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</row>
        <row r="432">
          <cell r="B432" t="str">
            <v>20411107G4200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</row>
        <row r="433">
          <cell r="B433" t="str">
            <v>20411107G4300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</row>
        <row r="434">
          <cell r="B434" t="str">
            <v>20411107G4400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</row>
        <row r="435">
          <cell r="B435" t="str">
            <v>20411107G4500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</row>
        <row r="436">
          <cell r="B436" t="str">
            <v>20411107G4600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</row>
        <row r="437">
          <cell r="B437" t="str">
            <v>20411107G4700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</row>
        <row r="438">
          <cell r="B438" t="str">
            <v>20411107G4800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</row>
        <row r="439">
          <cell r="B439" t="str">
            <v>20411107G4900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</row>
        <row r="440">
          <cell r="B440" t="str">
            <v>20411107G5000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</row>
        <row r="441">
          <cell r="B441" t="str">
            <v>20411107G5100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</row>
        <row r="442">
          <cell r="B442" t="str">
            <v>20411107G5200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</row>
        <row r="443">
          <cell r="B443" t="str">
            <v>20411315G0100</v>
          </cell>
          <cell r="E443">
            <v>1644960</v>
          </cell>
          <cell r="F443">
            <v>24674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1669634</v>
          </cell>
        </row>
        <row r="444">
          <cell r="B444" t="str">
            <v>20411315G0200</v>
          </cell>
          <cell r="E444">
            <v>1709960</v>
          </cell>
          <cell r="F444">
            <v>25649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1735609</v>
          </cell>
        </row>
        <row r="445">
          <cell r="B445" t="str">
            <v>20411315G0300</v>
          </cell>
          <cell r="E445">
            <v>1767960</v>
          </cell>
          <cell r="F445">
            <v>26519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1794479</v>
          </cell>
        </row>
        <row r="446">
          <cell r="B446" t="str">
            <v>20411315G0400</v>
          </cell>
          <cell r="E446">
            <v>2244960</v>
          </cell>
          <cell r="F446">
            <v>33674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2278634</v>
          </cell>
        </row>
        <row r="447">
          <cell r="B447" t="str">
            <v>20411314G0100</v>
          </cell>
          <cell r="E447">
            <v>1750000</v>
          </cell>
          <cell r="F447">
            <v>26250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1776250</v>
          </cell>
        </row>
        <row r="448">
          <cell r="B448" t="str">
            <v>20411314G0200</v>
          </cell>
          <cell r="E448">
            <v>1809960</v>
          </cell>
          <cell r="F448">
            <v>27149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1837109</v>
          </cell>
        </row>
        <row r="449">
          <cell r="B449" t="str">
            <v>20411314G0300</v>
          </cell>
          <cell r="E449">
            <v>1873000</v>
          </cell>
          <cell r="F449">
            <v>28095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1901095</v>
          </cell>
        </row>
        <row r="450">
          <cell r="B450" t="str">
            <v>20411314G0400</v>
          </cell>
          <cell r="E450">
            <v>2350000</v>
          </cell>
          <cell r="F450">
            <v>35250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2385250</v>
          </cell>
        </row>
        <row r="451">
          <cell r="B451" t="str">
            <v>20302159G1000</v>
          </cell>
          <cell r="E451">
            <v>712100</v>
          </cell>
          <cell r="F451">
            <v>10681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722781</v>
          </cell>
        </row>
        <row r="452">
          <cell r="B452" t="str">
            <v>20302160G0900</v>
          </cell>
          <cell r="E452">
            <v>724600</v>
          </cell>
          <cell r="F452">
            <v>10869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735469</v>
          </cell>
        </row>
        <row r="453">
          <cell r="B453" t="str">
            <v>20302160G1000</v>
          </cell>
          <cell r="E453">
            <v>748100</v>
          </cell>
          <cell r="F453">
            <v>11221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759321</v>
          </cell>
        </row>
        <row r="454">
          <cell r="B454" t="str">
            <v>20302161G0500</v>
          </cell>
          <cell r="E454">
            <v>889500</v>
          </cell>
          <cell r="F454">
            <v>13342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902842</v>
          </cell>
        </row>
        <row r="455">
          <cell r="B455" t="str">
            <v>20600130G0100</v>
          </cell>
          <cell r="E455">
            <v>442000</v>
          </cell>
          <cell r="F455">
            <v>6630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448630</v>
          </cell>
        </row>
        <row r="456">
          <cell r="B456" t="str">
            <v>20600137G0200</v>
          </cell>
          <cell r="E456">
            <v>385335</v>
          </cell>
          <cell r="F456">
            <v>5780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391115</v>
          </cell>
        </row>
        <row r="457">
          <cell r="B457" t="str">
            <v>20610068G0900</v>
          </cell>
          <cell r="E457">
            <v>548155</v>
          </cell>
          <cell r="F457">
            <v>8222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556377</v>
          </cell>
        </row>
        <row r="458">
          <cell r="B458" t="str">
            <v>20610068G1100</v>
          </cell>
          <cell r="E458">
            <v>547507</v>
          </cell>
          <cell r="F458">
            <v>8212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555719</v>
          </cell>
        </row>
        <row r="459">
          <cell r="B459" t="str">
            <v>20610070G0300</v>
          </cell>
          <cell r="E459">
            <v>823980</v>
          </cell>
          <cell r="F459">
            <v>12359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836339</v>
          </cell>
        </row>
        <row r="460">
          <cell r="B460" t="str">
            <v>20610071G0900</v>
          </cell>
          <cell r="E460">
            <v>1139750</v>
          </cell>
          <cell r="F460">
            <v>17096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1156846</v>
          </cell>
        </row>
        <row r="461">
          <cell r="B461" t="str">
            <v>20610102G0900</v>
          </cell>
          <cell r="E461">
            <v>552731</v>
          </cell>
          <cell r="F461">
            <v>8290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561021</v>
          </cell>
        </row>
        <row r="462">
          <cell r="B462" t="str">
            <v>20610102G1100</v>
          </cell>
          <cell r="E462">
            <v>568601</v>
          </cell>
          <cell r="F462">
            <v>8529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577130</v>
          </cell>
        </row>
        <row r="463">
          <cell r="B463" t="str">
            <v>20610066G0100</v>
          </cell>
          <cell r="E463">
            <v>5000</v>
          </cell>
          <cell r="F463">
            <v>75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5075</v>
          </cell>
        </row>
        <row r="464">
          <cell r="B464" t="str">
            <v>20610066G0200</v>
          </cell>
          <cell r="E464">
            <v>10900</v>
          </cell>
          <cell r="F464">
            <v>163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11063</v>
          </cell>
        </row>
        <row r="465">
          <cell r="B465" t="str">
            <v>20610066G0300</v>
          </cell>
          <cell r="E465">
            <v>14900</v>
          </cell>
          <cell r="F465">
            <v>223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15123</v>
          </cell>
        </row>
        <row r="466">
          <cell r="B466" t="str">
            <v>20610066G0400</v>
          </cell>
          <cell r="E466">
            <v>6625</v>
          </cell>
          <cell r="F466">
            <v>99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6724</v>
          </cell>
        </row>
        <row r="467">
          <cell r="B467" t="str">
            <v>20610066G0500</v>
          </cell>
          <cell r="E467">
            <v>7625</v>
          </cell>
          <cell r="F467">
            <v>114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7739</v>
          </cell>
        </row>
        <row r="468">
          <cell r="B468" t="str">
            <v>25900958G0200</v>
          </cell>
          <cell r="E468">
            <v>950</v>
          </cell>
          <cell r="F468">
            <v>14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964</v>
          </cell>
        </row>
        <row r="469">
          <cell r="B469" t="str">
            <v>25901027G0400</v>
          </cell>
          <cell r="E469">
            <v>4640</v>
          </cell>
          <cell r="F469">
            <v>69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4709</v>
          </cell>
        </row>
        <row r="470">
          <cell r="B470" t="str">
            <v>25901067G0100</v>
          </cell>
          <cell r="E470">
            <v>3550</v>
          </cell>
          <cell r="F470">
            <v>53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3603</v>
          </cell>
        </row>
        <row r="471">
          <cell r="B471" t="str">
            <v>25901067G0200</v>
          </cell>
          <cell r="E471">
            <v>4410</v>
          </cell>
          <cell r="F471">
            <v>66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4476</v>
          </cell>
        </row>
        <row r="472">
          <cell r="B472" t="str">
            <v>20610072G0100</v>
          </cell>
          <cell r="E472">
            <v>9100</v>
          </cell>
          <cell r="F472">
            <v>136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9236</v>
          </cell>
        </row>
        <row r="473">
          <cell r="B473" t="str">
            <v>20610072G0300</v>
          </cell>
          <cell r="E473">
            <v>9300</v>
          </cell>
          <cell r="F473">
            <v>139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9439</v>
          </cell>
        </row>
        <row r="474">
          <cell r="B474" t="str">
            <v>20610072G0500</v>
          </cell>
          <cell r="E474">
            <v>10600</v>
          </cell>
          <cell r="F474">
            <v>159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10759</v>
          </cell>
        </row>
        <row r="475">
          <cell r="B475" t="str">
            <v>20610072G0700</v>
          </cell>
          <cell r="E475">
            <v>13200</v>
          </cell>
          <cell r="F475">
            <v>198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13398</v>
          </cell>
        </row>
        <row r="476">
          <cell r="B476" t="str">
            <v>20610072G0900</v>
          </cell>
          <cell r="E476">
            <v>13400</v>
          </cell>
          <cell r="F476">
            <v>201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13601</v>
          </cell>
        </row>
        <row r="477">
          <cell r="B477" t="str">
            <v>25901064G0100</v>
          </cell>
          <cell r="E477">
            <v>11730</v>
          </cell>
          <cell r="F477">
            <v>175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11905</v>
          </cell>
        </row>
        <row r="478">
          <cell r="B478" t="str">
            <v>25901064G0200</v>
          </cell>
          <cell r="E478">
            <v>11820</v>
          </cell>
          <cell r="F478">
            <v>177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11997</v>
          </cell>
        </row>
        <row r="479">
          <cell r="B479" t="str">
            <v>20410485G0100</v>
          </cell>
          <cell r="E479">
            <v>14000</v>
          </cell>
          <cell r="F479">
            <v>210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14210</v>
          </cell>
        </row>
        <row r="480">
          <cell r="B480" t="str">
            <v>20410485G0500</v>
          </cell>
          <cell r="E480">
            <v>17000</v>
          </cell>
          <cell r="F480">
            <v>255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17255</v>
          </cell>
        </row>
        <row r="481">
          <cell r="B481" t="str">
            <v>20600113G0200</v>
          </cell>
          <cell r="E481">
            <v>35630</v>
          </cell>
          <cell r="F481">
            <v>534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36164</v>
          </cell>
        </row>
        <row r="482">
          <cell r="B482" t="str">
            <v>28610048G0100</v>
          </cell>
          <cell r="E482">
            <v>335000</v>
          </cell>
          <cell r="F482">
            <v>5025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340025</v>
          </cell>
        </row>
        <row r="483">
          <cell r="B483" t="str">
            <v>28610048G0200</v>
          </cell>
          <cell r="E483">
            <v>320700</v>
          </cell>
          <cell r="F483">
            <v>4810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325510</v>
          </cell>
        </row>
        <row r="484">
          <cell r="B484" t="str">
            <v>28610053G0100</v>
          </cell>
          <cell r="E484">
            <v>349100</v>
          </cell>
          <cell r="F484">
            <v>5236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354336</v>
          </cell>
        </row>
        <row r="485">
          <cell r="B485" t="str">
            <v>28610053G0200</v>
          </cell>
          <cell r="E485">
            <v>334800</v>
          </cell>
          <cell r="F485">
            <v>5022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339822</v>
          </cell>
        </row>
        <row r="486">
          <cell r="B486" t="str">
            <v>25900770G0200</v>
          </cell>
          <cell r="E486">
            <v>5460</v>
          </cell>
          <cell r="F486">
            <v>81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5541</v>
          </cell>
        </row>
        <row r="487">
          <cell r="B487" t="str">
            <v>25900888G0100</v>
          </cell>
          <cell r="E487">
            <v>11923</v>
          </cell>
          <cell r="F487">
            <v>178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12101</v>
          </cell>
        </row>
        <row r="488">
          <cell r="B488" t="str">
            <v>25900914G0200</v>
          </cell>
          <cell r="E488">
            <v>44426</v>
          </cell>
          <cell r="F488">
            <v>666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45092</v>
          </cell>
        </row>
        <row r="489">
          <cell r="B489" t="str">
            <v>25900914G0500</v>
          </cell>
          <cell r="E489">
            <v>75921</v>
          </cell>
          <cell r="F489">
            <v>1138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77059</v>
          </cell>
        </row>
        <row r="490">
          <cell r="B490" t="str">
            <v>25900932G2000</v>
          </cell>
          <cell r="E490">
            <v>20000</v>
          </cell>
          <cell r="F490">
            <v>300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20300</v>
          </cell>
        </row>
        <row r="491">
          <cell r="B491" t="str">
            <v>25900932G3000</v>
          </cell>
          <cell r="E491">
            <v>29000</v>
          </cell>
          <cell r="F491">
            <v>435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29435</v>
          </cell>
        </row>
        <row r="492">
          <cell r="B492" t="str">
            <v>25900933G0500</v>
          </cell>
          <cell r="E492">
            <v>55855</v>
          </cell>
          <cell r="F492">
            <v>837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56692</v>
          </cell>
        </row>
        <row r="493">
          <cell r="B493" t="str">
            <v>HX00058CH0900</v>
          </cell>
          <cell r="E493">
            <v>7998</v>
          </cell>
          <cell r="F493">
            <v>119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8117</v>
          </cell>
        </row>
        <row r="494">
          <cell r="B494" t="str">
            <v>HX00058CH1300</v>
          </cell>
          <cell r="E494">
            <v>12110</v>
          </cell>
          <cell r="F494">
            <v>181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12291</v>
          </cell>
        </row>
        <row r="495">
          <cell r="B495" t="str">
            <v>HX00058CH1200</v>
          </cell>
          <cell r="E495">
            <v>3289</v>
          </cell>
          <cell r="F495">
            <v>49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3338</v>
          </cell>
        </row>
        <row r="496">
          <cell r="B496" t="str">
            <v>HX058006H0400</v>
          </cell>
          <cell r="E496">
            <v>2685</v>
          </cell>
          <cell r="F496">
            <v>40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2725</v>
          </cell>
        </row>
        <row r="497">
          <cell r="B497" t="str">
            <v>HX058006H0500</v>
          </cell>
          <cell r="E497">
            <v>4288</v>
          </cell>
          <cell r="F497">
            <v>64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4352</v>
          </cell>
        </row>
        <row r="498">
          <cell r="B498" t="str">
            <v>HX058009H0100</v>
          </cell>
          <cell r="E498">
            <v>914</v>
          </cell>
          <cell r="F498">
            <v>13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927</v>
          </cell>
        </row>
        <row r="499">
          <cell r="B499" t="str">
            <v>HX058010H0900</v>
          </cell>
          <cell r="E499">
            <v>733</v>
          </cell>
          <cell r="F499">
            <v>10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743</v>
          </cell>
        </row>
        <row r="500">
          <cell r="B500" t="str">
            <v>HX058010H1000</v>
          </cell>
          <cell r="E500">
            <v>1072</v>
          </cell>
          <cell r="F500">
            <v>16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1088</v>
          </cell>
        </row>
        <row r="501">
          <cell r="B501" t="str">
            <v>HX058010H1100</v>
          </cell>
          <cell r="E501">
            <v>1389</v>
          </cell>
          <cell r="F501">
            <v>20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1409</v>
          </cell>
        </row>
        <row r="502">
          <cell r="B502" t="str">
            <v>HX058010H1200</v>
          </cell>
          <cell r="E502">
            <v>1584</v>
          </cell>
          <cell r="F502">
            <v>23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1607</v>
          </cell>
        </row>
        <row r="503">
          <cell r="B503" t="str">
            <v>HX058010H1400</v>
          </cell>
          <cell r="E503">
            <v>3304</v>
          </cell>
          <cell r="F503">
            <v>49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3353</v>
          </cell>
        </row>
        <row r="504">
          <cell r="B504" t="str">
            <v>HX058010H1500</v>
          </cell>
          <cell r="E504">
            <v>3581</v>
          </cell>
          <cell r="F504">
            <v>53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3634</v>
          </cell>
        </row>
        <row r="505">
          <cell r="B505" t="str">
            <v>HX058011H0100</v>
          </cell>
          <cell r="E505">
            <v>694</v>
          </cell>
          <cell r="F505">
            <v>10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704</v>
          </cell>
        </row>
        <row r="506">
          <cell r="B506" t="str">
            <v>HX058012H0100</v>
          </cell>
          <cell r="E506">
            <v>426</v>
          </cell>
          <cell r="F506">
            <v>6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432</v>
          </cell>
        </row>
        <row r="507">
          <cell r="B507" t="str">
            <v>HX058012H0200</v>
          </cell>
          <cell r="E507">
            <v>496</v>
          </cell>
          <cell r="F507">
            <v>7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503</v>
          </cell>
        </row>
        <row r="508">
          <cell r="B508" t="str">
            <v>HX058017H0100</v>
          </cell>
          <cell r="E508">
            <v>339</v>
          </cell>
          <cell r="F508">
            <v>5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344</v>
          </cell>
        </row>
        <row r="509">
          <cell r="B509" t="str">
            <v>HX058019H0100</v>
          </cell>
          <cell r="E509">
            <v>800</v>
          </cell>
          <cell r="F509">
            <v>12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812</v>
          </cell>
        </row>
        <row r="510">
          <cell r="B510" t="str">
            <v>25900980G0900</v>
          </cell>
          <cell r="E510">
            <v>2740</v>
          </cell>
          <cell r="F510">
            <v>41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2781</v>
          </cell>
        </row>
        <row r="511">
          <cell r="B511" t="str">
            <v>25900983G0100</v>
          </cell>
          <cell r="E511">
            <v>16000</v>
          </cell>
          <cell r="F511">
            <v>240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16240</v>
          </cell>
        </row>
        <row r="512">
          <cell r="B512" t="str">
            <v>25900984G0100</v>
          </cell>
          <cell r="E512">
            <v>4550</v>
          </cell>
          <cell r="F512">
            <v>68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4618</v>
          </cell>
        </row>
        <row r="513">
          <cell r="B513" t="str">
            <v>HX058031H0200</v>
          </cell>
          <cell r="E513">
            <v>485</v>
          </cell>
          <cell r="F513">
            <v>7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492</v>
          </cell>
        </row>
        <row r="514">
          <cell r="B514" t="str">
            <v>25900124G0100</v>
          </cell>
          <cell r="E514">
            <v>12967</v>
          </cell>
          <cell r="F514">
            <v>194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13161</v>
          </cell>
        </row>
        <row r="515">
          <cell r="B515" t="str">
            <v>25900124G0200</v>
          </cell>
          <cell r="E515">
            <v>19550</v>
          </cell>
          <cell r="F515">
            <v>293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19843</v>
          </cell>
        </row>
        <row r="516">
          <cell r="B516" t="str">
            <v>HX058006H0200</v>
          </cell>
          <cell r="E516">
            <v>921</v>
          </cell>
          <cell r="F516">
            <v>13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934</v>
          </cell>
        </row>
        <row r="517">
          <cell r="B517" t="str">
            <v>HX058006H0300</v>
          </cell>
          <cell r="E517">
            <v>1407</v>
          </cell>
          <cell r="F517">
            <v>21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1428</v>
          </cell>
        </row>
        <row r="518">
          <cell r="B518" t="str">
            <v>259D0202G0500</v>
          </cell>
          <cell r="E518">
            <v>18000</v>
          </cell>
          <cell r="F518">
            <v>270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18270</v>
          </cell>
        </row>
        <row r="519">
          <cell r="B519" t="str">
            <v>25900489G0500</v>
          </cell>
          <cell r="E519">
            <v>5250</v>
          </cell>
          <cell r="F519">
            <v>78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5328</v>
          </cell>
        </row>
        <row r="520">
          <cell r="B520" t="str">
            <v>25900489G1000</v>
          </cell>
          <cell r="E520">
            <v>3124</v>
          </cell>
          <cell r="F520">
            <v>46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3170</v>
          </cell>
        </row>
        <row r="521">
          <cell r="B521" t="str">
            <v>25900523G0100</v>
          </cell>
          <cell r="E521">
            <v>1840</v>
          </cell>
          <cell r="F521">
            <v>27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1867</v>
          </cell>
        </row>
        <row r="522">
          <cell r="B522" t="str">
            <v>25900974G0100</v>
          </cell>
          <cell r="E522">
            <v>10500</v>
          </cell>
          <cell r="F522">
            <v>157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10657</v>
          </cell>
        </row>
        <row r="523">
          <cell r="B523" t="str">
            <v>259C0150G0200</v>
          </cell>
          <cell r="E523">
            <v>5955</v>
          </cell>
          <cell r="F523">
            <v>89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6044</v>
          </cell>
        </row>
        <row r="524">
          <cell r="B524" t="str">
            <v>28000177G1000</v>
          </cell>
          <cell r="E524">
            <v>46290</v>
          </cell>
          <cell r="F524">
            <v>694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46984</v>
          </cell>
        </row>
        <row r="525">
          <cell r="B525" t="str">
            <v>28000287G1400</v>
          </cell>
          <cell r="E525">
            <v>42224</v>
          </cell>
          <cell r="F525">
            <v>633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42857</v>
          </cell>
        </row>
        <row r="526">
          <cell r="B526" t="str">
            <v>28010450G0100</v>
          </cell>
          <cell r="E526">
            <v>127389</v>
          </cell>
          <cell r="F526">
            <v>1910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129299</v>
          </cell>
        </row>
        <row r="527">
          <cell r="B527" t="str">
            <v>28010474G0100</v>
          </cell>
          <cell r="E527">
            <v>85860</v>
          </cell>
          <cell r="F527">
            <v>1287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87147</v>
          </cell>
        </row>
        <row r="528">
          <cell r="B528" t="str">
            <v>28010474G0900</v>
          </cell>
          <cell r="E528">
            <v>79590</v>
          </cell>
          <cell r="F528">
            <v>1193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80783</v>
          </cell>
        </row>
        <row r="529">
          <cell r="B529" t="str">
            <v>28010474G1900</v>
          </cell>
          <cell r="E529">
            <v>154135</v>
          </cell>
          <cell r="F529">
            <v>2312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156447</v>
          </cell>
        </row>
        <row r="530">
          <cell r="B530" t="str">
            <v>25910179G0100</v>
          </cell>
          <cell r="E530">
            <v>6231</v>
          </cell>
          <cell r="F530">
            <v>93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6324</v>
          </cell>
        </row>
        <row r="531">
          <cell r="B531" t="str">
            <v>HX058004H0100</v>
          </cell>
          <cell r="E531">
            <v>601</v>
          </cell>
          <cell r="F531">
            <v>9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610</v>
          </cell>
        </row>
        <row r="532">
          <cell r="B532" t="str">
            <v>25900933G0200</v>
          </cell>
          <cell r="E532">
            <v>37692</v>
          </cell>
          <cell r="F532">
            <v>565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38257</v>
          </cell>
        </row>
        <row r="533">
          <cell r="B533" t="str">
            <v>25900933G0300</v>
          </cell>
          <cell r="E533">
            <v>43743</v>
          </cell>
          <cell r="F533">
            <v>656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44399</v>
          </cell>
        </row>
        <row r="534">
          <cell r="B534" t="str">
            <v>25900933G0400</v>
          </cell>
          <cell r="E534">
            <v>49804</v>
          </cell>
          <cell r="F534">
            <v>747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50551</v>
          </cell>
        </row>
        <row r="535">
          <cell r="B535" t="str">
            <v>25900933G0600</v>
          </cell>
          <cell r="E535">
            <v>63217</v>
          </cell>
          <cell r="F535">
            <v>948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64165</v>
          </cell>
        </row>
        <row r="536">
          <cell r="B536" t="str">
            <v>25900933G0700</v>
          </cell>
          <cell r="E536">
            <v>68750</v>
          </cell>
          <cell r="F536">
            <v>1031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69781</v>
          </cell>
        </row>
        <row r="537">
          <cell r="B537" t="str">
            <v>25900933G0800</v>
          </cell>
          <cell r="E537">
            <v>74802</v>
          </cell>
          <cell r="F537">
            <v>1122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75924</v>
          </cell>
        </row>
        <row r="538">
          <cell r="B538" t="str">
            <v>25900933G0900</v>
          </cell>
          <cell r="E538">
            <v>80862</v>
          </cell>
          <cell r="F538">
            <v>1212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82074</v>
          </cell>
        </row>
        <row r="539">
          <cell r="B539" t="str">
            <v>25900933G1000</v>
          </cell>
          <cell r="E539">
            <v>86914</v>
          </cell>
          <cell r="F539">
            <v>1303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88217</v>
          </cell>
        </row>
        <row r="540">
          <cell r="B540" t="str">
            <v>25900933G1100</v>
          </cell>
          <cell r="E540">
            <v>94803</v>
          </cell>
          <cell r="F540">
            <v>1422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96225</v>
          </cell>
        </row>
        <row r="541">
          <cell r="B541" t="str">
            <v>25900933G1200</v>
          </cell>
          <cell r="E541">
            <v>99808</v>
          </cell>
          <cell r="F541">
            <v>1497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101305</v>
          </cell>
        </row>
        <row r="542">
          <cell r="B542" t="str">
            <v>25900933G1300</v>
          </cell>
          <cell r="E542">
            <v>105860</v>
          </cell>
          <cell r="F542">
            <v>1587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107447</v>
          </cell>
        </row>
        <row r="543">
          <cell r="B543" t="str">
            <v>25900933G1400</v>
          </cell>
          <cell r="E543">
            <v>111920</v>
          </cell>
          <cell r="F543">
            <v>1678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113598</v>
          </cell>
        </row>
        <row r="544">
          <cell r="B544" t="str">
            <v>25900933G1500</v>
          </cell>
          <cell r="E544">
            <v>117972</v>
          </cell>
          <cell r="F544">
            <v>1769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119741</v>
          </cell>
        </row>
        <row r="545">
          <cell r="B545" t="str">
            <v>25900933G1600</v>
          </cell>
          <cell r="E545">
            <v>126380</v>
          </cell>
          <cell r="F545">
            <v>1895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128275</v>
          </cell>
        </row>
        <row r="546">
          <cell r="B546" t="str">
            <v>25900933G1700</v>
          </cell>
          <cell r="E546">
            <v>132441</v>
          </cell>
          <cell r="F546">
            <v>1986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134427</v>
          </cell>
        </row>
        <row r="547">
          <cell r="B547" t="str">
            <v>25900933G1800</v>
          </cell>
          <cell r="E547">
            <v>138492</v>
          </cell>
          <cell r="F547">
            <v>2077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140569</v>
          </cell>
        </row>
        <row r="548">
          <cell r="B548" t="str">
            <v>25900933G1900</v>
          </cell>
          <cell r="E548">
            <v>144544</v>
          </cell>
          <cell r="F548">
            <v>2168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146712</v>
          </cell>
        </row>
        <row r="549">
          <cell r="B549" t="str">
            <v>25900933G2000</v>
          </cell>
          <cell r="E549">
            <v>150605</v>
          </cell>
          <cell r="F549">
            <v>2259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152864</v>
          </cell>
        </row>
        <row r="550">
          <cell r="B550" t="str">
            <v>25900933G2100</v>
          </cell>
          <cell r="E550">
            <v>157966</v>
          </cell>
          <cell r="F550">
            <v>2369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160335</v>
          </cell>
        </row>
        <row r="551">
          <cell r="B551" t="str">
            <v>25900933G2200</v>
          </cell>
          <cell r="E551">
            <v>164018</v>
          </cell>
          <cell r="F551">
            <v>2460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166478</v>
          </cell>
        </row>
        <row r="552">
          <cell r="B552" t="str">
            <v>25900933G2300</v>
          </cell>
          <cell r="E552">
            <v>170079</v>
          </cell>
          <cell r="F552">
            <v>2551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172630</v>
          </cell>
        </row>
        <row r="553">
          <cell r="B553" t="str">
            <v>25900933G2400</v>
          </cell>
          <cell r="E553">
            <v>176130</v>
          </cell>
          <cell r="F553">
            <v>2641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178771</v>
          </cell>
        </row>
        <row r="554">
          <cell r="B554" t="str">
            <v>25900933G2500</v>
          </cell>
          <cell r="E554">
            <v>182182</v>
          </cell>
          <cell r="F554">
            <v>2732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184914</v>
          </cell>
        </row>
        <row r="555">
          <cell r="B555" t="str">
            <v>25900933G2600</v>
          </cell>
          <cell r="E555">
            <v>189553</v>
          </cell>
          <cell r="F555">
            <v>2843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192396</v>
          </cell>
        </row>
        <row r="556">
          <cell r="B556" t="str">
            <v>25900933G2700</v>
          </cell>
          <cell r="E556">
            <v>195604</v>
          </cell>
          <cell r="F556">
            <v>2934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198538</v>
          </cell>
        </row>
        <row r="557">
          <cell r="B557" t="str">
            <v>25900933G2800</v>
          </cell>
          <cell r="E557">
            <v>201656</v>
          </cell>
          <cell r="F557">
            <v>3024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204680</v>
          </cell>
        </row>
        <row r="558">
          <cell r="B558" t="str">
            <v>25900933G2900</v>
          </cell>
          <cell r="E558">
            <v>207716</v>
          </cell>
          <cell r="F558">
            <v>3115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210831</v>
          </cell>
        </row>
        <row r="559">
          <cell r="B559" t="str">
            <v>25900933G3000</v>
          </cell>
          <cell r="E559">
            <v>213768</v>
          </cell>
          <cell r="F559">
            <v>3206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216974</v>
          </cell>
        </row>
        <row r="560">
          <cell r="B560" t="str">
            <v>25900914G0300</v>
          </cell>
          <cell r="E560">
            <v>54927</v>
          </cell>
          <cell r="F560">
            <v>823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55750</v>
          </cell>
        </row>
        <row r="561">
          <cell r="B561" t="str">
            <v>25900914G0400</v>
          </cell>
          <cell r="E561">
            <v>65419</v>
          </cell>
          <cell r="F561">
            <v>981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66400</v>
          </cell>
        </row>
        <row r="562">
          <cell r="B562" t="str">
            <v>25900914G0600</v>
          </cell>
          <cell r="E562">
            <v>86422</v>
          </cell>
          <cell r="F562">
            <v>1296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87718</v>
          </cell>
        </row>
        <row r="563">
          <cell r="B563" t="str">
            <v>25900914G0700</v>
          </cell>
          <cell r="E563">
            <v>96915</v>
          </cell>
          <cell r="F563">
            <v>1453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98368</v>
          </cell>
        </row>
        <row r="564">
          <cell r="B564" t="str">
            <v>25900914G0800</v>
          </cell>
          <cell r="E564">
            <v>107416</v>
          </cell>
          <cell r="F564">
            <v>1611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109027</v>
          </cell>
        </row>
        <row r="565">
          <cell r="B565" t="str">
            <v>25900914G0900</v>
          </cell>
          <cell r="E565">
            <v>117917</v>
          </cell>
          <cell r="F565">
            <v>1768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119685</v>
          </cell>
        </row>
        <row r="566">
          <cell r="B566" t="str">
            <v>25900914G1000</v>
          </cell>
          <cell r="E566">
            <v>128419</v>
          </cell>
          <cell r="F566">
            <v>1926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130345</v>
          </cell>
        </row>
        <row r="567">
          <cell r="B567" t="str">
            <v>25900914G1100</v>
          </cell>
          <cell r="E567">
            <v>138911</v>
          </cell>
          <cell r="F567">
            <v>2083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140994</v>
          </cell>
        </row>
        <row r="568">
          <cell r="B568" t="str">
            <v>25900914G1200</v>
          </cell>
          <cell r="E568">
            <v>149412</v>
          </cell>
          <cell r="F568">
            <v>2241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151653</v>
          </cell>
        </row>
        <row r="569">
          <cell r="B569" t="str">
            <v>25900914G1300</v>
          </cell>
          <cell r="E569">
            <v>159914</v>
          </cell>
          <cell r="F569">
            <v>2398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162312</v>
          </cell>
        </row>
        <row r="570">
          <cell r="B570" t="str">
            <v>25900914G1400</v>
          </cell>
          <cell r="E570">
            <v>170406</v>
          </cell>
          <cell r="F570">
            <v>2556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172962</v>
          </cell>
        </row>
        <row r="571">
          <cell r="B571" t="str">
            <v>25900914G1500</v>
          </cell>
          <cell r="E571">
            <v>180908</v>
          </cell>
          <cell r="F571">
            <v>2713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183621</v>
          </cell>
        </row>
        <row r="572">
          <cell r="B572" t="str">
            <v>25900914G1600</v>
          </cell>
          <cell r="E572">
            <v>191409</v>
          </cell>
          <cell r="F572">
            <v>2871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194280</v>
          </cell>
        </row>
        <row r="573">
          <cell r="B573" t="str">
            <v>25900914G1700</v>
          </cell>
          <cell r="E573">
            <v>201901</v>
          </cell>
          <cell r="F573">
            <v>3028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204929</v>
          </cell>
        </row>
        <row r="574">
          <cell r="B574" t="str">
            <v>25900914G1800</v>
          </cell>
          <cell r="E574">
            <v>212403</v>
          </cell>
          <cell r="F574">
            <v>3186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215589</v>
          </cell>
        </row>
        <row r="575">
          <cell r="B575" t="str">
            <v>25900914G1900</v>
          </cell>
          <cell r="E575">
            <v>222904</v>
          </cell>
          <cell r="F575">
            <v>3343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226247</v>
          </cell>
        </row>
        <row r="576">
          <cell r="B576" t="str">
            <v>25900914G2000</v>
          </cell>
          <cell r="E576">
            <v>245000</v>
          </cell>
          <cell r="F576">
            <v>3675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248675</v>
          </cell>
        </row>
        <row r="577">
          <cell r="B577" t="str">
            <v>25900914G2100</v>
          </cell>
          <cell r="E577">
            <v>243898</v>
          </cell>
          <cell r="F577">
            <v>3658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247556</v>
          </cell>
        </row>
        <row r="578">
          <cell r="B578" t="str">
            <v>25900914G2200</v>
          </cell>
          <cell r="E578">
            <v>254399</v>
          </cell>
          <cell r="F578">
            <v>3815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258214</v>
          </cell>
        </row>
        <row r="579">
          <cell r="B579" t="str">
            <v>25900914G2300</v>
          </cell>
          <cell r="E579">
            <v>269000</v>
          </cell>
          <cell r="F579">
            <v>4035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273035</v>
          </cell>
        </row>
        <row r="580">
          <cell r="B580" t="str">
            <v>25900914G2400</v>
          </cell>
          <cell r="E580">
            <v>275300</v>
          </cell>
          <cell r="F580">
            <v>4129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279429</v>
          </cell>
        </row>
        <row r="581">
          <cell r="B581" t="str">
            <v>25900914G2500</v>
          </cell>
          <cell r="E581">
            <v>288000</v>
          </cell>
          <cell r="F581">
            <v>4320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292320</v>
          </cell>
        </row>
        <row r="582">
          <cell r="B582" t="str">
            <v>25900914G2600</v>
          </cell>
          <cell r="E582">
            <v>296396</v>
          </cell>
          <cell r="F582">
            <v>4445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300841</v>
          </cell>
        </row>
        <row r="583">
          <cell r="B583" t="str">
            <v>25900914G2700</v>
          </cell>
          <cell r="E583">
            <v>295000</v>
          </cell>
          <cell r="F583">
            <v>4425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299425</v>
          </cell>
        </row>
        <row r="584">
          <cell r="B584" t="str">
            <v>25900914G2800</v>
          </cell>
          <cell r="E584">
            <v>317389</v>
          </cell>
          <cell r="F584">
            <v>4760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322149</v>
          </cell>
        </row>
        <row r="585">
          <cell r="B585" t="str">
            <v>25900914G2900</v>
          </cell>
          <cell r="E585">
            <v>317389</v>
          </cell>
          <cell r="F585">
            <v>4760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322149</v>
          </cell>
        </row>
        <row r="586">
          <cell r="B586" t="str">
            <v>25900914G3000</v>
          </cell>
          <cell r="E586">
            <v>317389</v>
          </cell>
          <cell r="F586">
            <v>4760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322149</v>
          </cell>
        </row>
        <row r="587">
          <cell r="B587" t="str">
            <v>25910180G0100</v>
          </cell>
          <cell r="E587">
            <v>16100</v>
          </cell>
          <cell r="F587">
            <v>241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16341</v>
          </cell>
        </row>
        <row r="588">
          <cell r="B588" t="str">
            <v>25910180G0200</v>
          </cell>
          <cell r="E588">
            <v>37000</v>
          </cell>
          <cell r="F588">
            <v>555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37555</v>
          </cell>
        </row>
        <row r="589">
          <cell r="B589" t="str">
            <v>HX058004H0200</v>
          </cell>
          <cell r="E589">
            <v>921</v>
          </cell>
          <cell r="F589">
            <v>13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934</v>
          </cell>
        </row>
        <row r="590">
          <cell r="B590" t="str">
            <v>HX058004H0300</v>
          </cell>
          <cell r="E590">
            <v>1407</v>
          </cell>
          <cell r="F590">
            <v>21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1428</v>
          </cell>
        </row>
        <row r="591">
          <cell r="B591" t="str">
            <v>HX058004H0400</v>
          </cell>
          <cell r="E591">
            <v>2724</v>
          </cell>
          <cell r="F591">
            <v>40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2764</v>
          </cell>
        </row>
        <row r="592">
          <cell r="B592" t="str">
            <v>HX058004H0500</v>
          </cell>
          <cell r="E592">
            <v>4288</v>
          </cell>
          <cell r="F592">
            <v>64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4352</v>
          </cell>
        </row>
        <row r="593">
          <cell r="B593" t="str">
            <v>HX058004H0600</v>
          </cell>
          <cell r="E593">
            <v>6578</v>
          </cell>
          <cell r="F593">
            <v>98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6676</v>
          </cell>
        </row>
        <row r="594">
          <cell r="B594" t="str">
            <v>HX00058CH1100</v>
          </cell>
          <cell r="E594">
            <v>12507</v>
          </cell>
          <cell r="F594">
            <v>187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12694</v>
          </cell>
        </row>
        <row r="595">
          <cell r="B595" t="str">
            <v>259C0204G0300</v>
          </cell>
          <cell r="E595">
            <v>24130</v>
          </cell>
          <cell r="F595">
            <v>361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24491</v>
          </cell>
        </row>
        <row r="596">
          <cell r="B596" t="str">
            <v>R62100000210A</v>
          </cell>
          <cell r="E596">
            <v>906</v>
          </cell>
          <cell r="F596">
            <v>13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919</v>
          </cell>
        </row>
        <row r="597">
          <cell r="B597" t="str">
            <v>28010372G1100</v>
          </cell>
          <cell r="E597">
            <v>84500</v>
          </cell>
          <cell r="F597">
            <v>1267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85767</v>
          </cell>
        </row>
        <row r="598">
          <cell r="B598" t="str">
            <v>26310576G1300</v>
          </cell>
          <cell r="E598">
            <v>27116</v>
          </cell>
          <cell r="F598">
            <v>406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27522</v>
          </cell>
        </row>
        <row r="599">
          <cell r="B599" t="str">
            <v>28010878G1100</v>
          </cell>
          <cell r="E599">
            <v>67335</v>
          </cell>
          <cell r="F599">
            <v>1010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68345</v>
          </cell>
        </row>
        <row r="600">
          <cell r="B600" t="str">
            <v>HX058014H0200</v>
          </cell>
          <cell r="E600">
            <v>1564</v>
          </cell>
          <cell r="F600">
            <v>23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1587</v>
          </cell>
        </row>
        <row r="601">
          <cell r="B601" t="str">
            <v>26200168G01PL</v>
          </cell>
          <cell r="E601">
            <v>83267</v>
          </cell>
          <cell r="F601">
            <v>1249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84516</v>
          </cell>
        </row>
        <row r="602">
          <cell r="B602">
            <v>281100445</v>
          </cell>
          <cell r="E602">
            <v>24830</v>
          </cell>
          <cell r="F602">
            <v>372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25202</v>
          </cell>
        </row>
        <row r="603">
          <cell r="B603" t="str">
            <v>28100034G05SC</v>
          </cell>
          <cell r="E603">
            <v>124343</v>
          </cell>
          <cell r="F603">
            <v>1865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126208</v>
          </cell>
        </row>
        <row r="604">
          <cell r="B604" t="str">
            <v>26310287G10SA</v>
          </cell>
          <cell r="E604">
            <v>24490</v>
          </cell>
          <cell r="F604">
            <v>367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24857</v>
          </cell>
        </row>
        <row r="605">
          <cell r="B605" t="str">
            <v>26310311G07SA</v>
          </cell>
          <cell r="E605">
            <v>53679</v>
          </cell>
          <cell r="F605">
            <v>805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54484</v>
          </cell>
        </row>
        <row r="606">
          <cell r="B606" t="str">
            <v>26310311G11SA</v>
          </cell>
          <cell r="E606">
            <v>59929</v>
          </cell>
          <cell r="F606">
            <v>898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60827</v>
          </cell>
        </row>
        <row r="607">
          <cell r="B607">
            <v>281100501</v>
          </cell>
          <cell r="E607">
            <v>23830</v>
          </cell>
          <cell r="F607">
            <v>357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24187</v>
          </cell>
        </row>
        <row r="608">
          <cell r="B608" t="str">
            <v>26400111G1100</v>
          </cell>
          <cell r="E608">
            <v>102000</v>
          </cell>
          <cell r="F608">
            <v>1530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103530</v>
          </cell>
        </row>
        <row r="609">
          <cell r="B609" t="str">
            <v>26310576G1100</v>
          </cell>
          <cell r="E609">
            <v>27116</v>
          </cell>
          <cell r="F609">
            <v>406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27522</v>
          </cell>
        </row>
        <row r="610">
          <cell r="B610" t="str">
            <v>26300281G2200</v>
          </cell>
          <cell r="E610">
            <v>26729</v>
          </cell>
          <cell r="F610">
            <v>400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27129</v>
          </cell>
        </row>
        <row r="611">
          <cell r="B611" t="str">
            <v>26210026G03PL</v>
          </cell>
          <cell r="E611">
            <v>44103</v>
          </cell>
          <cell r="F611">
            <v>661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44764</v>
          </cell>
        </row>
        <row r="612">
          <cell r="B612">
            <v>281100377</v>
          </cell>
          <cell r="E612">
            <v>31150</v>
          </cell>
          <cell r="F612">
            <v>467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31617</v>
          </cell>
        </row>
        <row r="613">
          <cell r="B613" t="str">
            <v>26400105G1200</v>
          </cell>
          <cell r="E613">
            <v>105000</v>
          </cell>
          <cell r="F613">
            <v>1575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106575</v>
          </cell>
        </row>
        <row r="614">
          <cell r="B614" t="str">
            <v>26210119G1100</v>
          </cell>
          <cell r="E614">
            <v>25060</v>
          </cell>
          <cell r="F614">
            <v>375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25435</v>
          </cell>
        </row>
        <row r="615">
          <cell r="B615" t="str">
            <v>26200135G1100</v>
          </cell>
          <cell r="E615">
            <v>26814</v>
          </cell>
          <cell r="F615">
            <v>402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27216</v>
          </cell>
        </row>
        <row r="616">
          <cell r="B616" t="str">
            <v>28000231G05SA</v>
          </cell>
          <cell r="E616">
            <v>180988</v>
          </cell>
          <cell r="F616">
            <v>2714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183702</v>
          </cell>
        </row>
        <row r="617">
          <cell r="B617">
            <v>281100726</v>
          </cell>
          <cell r="E617">
            <v>53815</v>
          </cell>
          <cell r="F617">
            <v>807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54622</v>
          </cell>
        </row>
        <row r="618">
          <cell r="B618" t="str">
            <v>28100053G0100</v>
          </cell>
          <cell r="E618">
            <v>16754</v>
          </cell>
          <cell r="F618">
            <v>251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17005</v>
          </cell>
        </row>
        <row r="619">
          <cell r="B619" t="str">
            <v>28100053G1100</v>
          </cell>
          <cell r="E619">
            <v>16779</v>
          </cell>
          <cell r="F619">
            <v>251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17030</v>
          </cell>
        </row>
        <row r="620">
          <cell r="B620" t="str">
            <v>28010878G1200</v>
          </cell>
          <cell r="E620">
            <v>53367</v>
          </cell>
          <cell r="F620">
            <v>800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54167</v>
          </cell>
        </row>
        <row r="621">
          <cell r="B621" t="str">
            <v>20410465G0200</v>
          </cell>
          <cell r="E621">
            <v>154182</v>
          </cell>
          <cell r="F621">
            <v>2312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156494</v>
          </cell>
        </row>
        <row r="622">
          <cell r="B622" t="str">
            <v>20400955G0200</v>
          </cell>
          <cell r="E622">
            <v>20000</v>
          </cell>
          <cell r="F622">
            <v>300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20300</v>
          </cell>
        </row>
        <row r="623">
          <cell r="B623" t="str">
            <v>20410635G3100</v>
          </cell>
          <cell r="E623">
            <v>178600</v>
          </cell>
          <cell r="F623">
            <v>2679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181279</v>
          </cell>
        </row>
        <row r="624">
          <cell r="B624" t="str">
            <v>20401194G2000</v>
          </cell>
          <cell r="E624">
            <v>140000</v>
          </cell>
          <cell r="F624">
            <v>2100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142100</v>
          </cell>
        </row>
        <row r="625">
          <cell r="B625" t="str">
            <v>20401194G3000</v>
          </cell>
          <cell r="E625">
            <v>140000</v>
          </cell>
          <cell r="F625">
            <v>2100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142100</v>
          </cell>
        </row>
        <row r="626">
          <cell r="B626" t="str">
            <v>20401397G2000</v>
          </cell>
          <cell r="E626">
            <v>78000</v>
          </cell>
          <cell r="F626">
            <v>1170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79170</v>
          </cell>
        </row>
        <row r="627">
          <cell r="B627" t="str">
            <v>20401397G3000</v>
          </cell>
          <cell r="E627">
            <v>78000</v>
          </cell>
          <cell r="F627">
            <v>1170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79170</v>
          </cell>
        </row>
        <row r="628">
          <cell r="B628" t="str">
            <v>20401397G4000</v>
          </cell>
          <cell r="E628">
            <v>78000</v>
          </cell>
          <cell r="F628">
            <v>1170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79170</v>
          </cell>
        </row>
        <row r="629">
          <cell r="B629" t="str">
            <v>20500004G0200</v>
          </cell>
          <cell r="E629">
            <v>158600</v>
          </cell>
          <cell r="F629">
            <v>2379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160979</v>
          </cell>
        </row>
        <row r="630">
          <cell r="B630" t="str">
            <v>20400640G0100</v>
          </cell>
          <cell r="E630">
            <v>16000</v>
          </cell>
          <cell r="F630">
            <v>240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16240</v>
          </cell>
        </row>
        <row r="631">
          <cell r="B631" t="str">
            <v>20410464G0200</v>
          </cell>
          <cell r="E631">
            <v>34500</v>
          </cell>
          <cell r="F631">
            <v>517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35017</v>
          </cell>
        </row>
        <row r="632">
          <cell r="B632" t="str">
            <v>28600127G0100</v>
          </cell>
          <cell r="E632">
            <v>24000</v>
          </cell>
          <cell r="F632">
            <v>360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24360</v>
          </cell>
        </row>
        <row r="633">
          <cell r="B633" t="str">
            <v>20401112G0300</v>
          </cell>
          <cell r="E633">
            <v>38000</v>
          </cell>
          <cell r="F633">
            <v>570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38570</v>
          </cell>
        </row>
        <row r="634">
          <cell r="B634" t="str">
            <v>20401308G0200</v>
          </cell>
          <cell r="E634">
            <v>6000</v>
          </cell>
          <cell r="F634">
            <v>90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6090</v>
          </cell>
        </row>
        <row r="635">
          <cell r="B635" t="str">
            <v>20401462G0100</v>
          </cell>
          <cell r="E635">
            <v>7236</v>
          </cell>
          <cell r="F635">
            <v>108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7344</v>
          </cell>
        </row>
        <row r="636">
          <cell r="B636" t="str">
            <v>29000047G0300</v>
          </cell>
          <cell r="E636">
            <v>396560</v>
          </cell>
          <cell r="F636">
            <v>5948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402508</v>
          </cell>
        </row>
        <row r="637">
          <cell r="B637" t="str">
            <v>20400702G0100</v>
          </cell>
          <cell r="E637">
            <v>2272</v>
          </cell>
          <cell r="F637">
            <v>34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2306</v>
          </cell>
        </row>
        <row r="638">
          <cell r="B638" t="str">
            <v>V0026179G0200</v>
          </cell>
          <cell r="E638">
            <v>60000</v>
          </cell>
          <cell r="F638">
            <v>900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60900</v>
          </cell>
        </row>
        <row r="639">
          <cell r="B639" t="str">
            <v>28000390G0100</v>
          </cell>
          <cell r="E639">
            <v>87512</v>
          </cell>
          <cell r="F639">
            <v>1312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88824</v>
          </cell>
        </row>
        <row r="640">
          <cell r="B640" t="str">
            <v>HX0001TBH3200</v>
          </cell>
          <cell r="E640">
            <v>11000</v>
          </cell>
          <cell r="F640">
            <v>165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11165</v>
          </cell>
        </row>
        <row r="641">
          <cell r="B641" t="str">
            <v>29100059G0100</v>
          </cell>
          <cell r="E641">
            <v>8000</v>
          </cell>
          <cell r="F641">
            <v>120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8120</v>
          </cell>
        </row>
        <row r="642">
          <cell r="B642" t="str">
            <v>29100059G0300</v>
          </cell>
          <cell r="E642">
            <v>9000</v>
          </cell>
          <cell r="F642">
            <v>135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9135</v>
          </cell>
        </row>
        <row r="643">
          <cell r="B643" t="str">
            <v>29110021G0100</v>
          </cell>
          <cell r="E643">
            <v>72225</v>
          </cell>
          <cell r="F643">
            <v>1083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73308</v>
          </cell>
        </row>
        <row r="644">
          <cell r="B644" t="str">
            <v>29110025G0100</v>
          </cell>
          <cell r="E644">
            <v>4400</v>
          </cell>
          <cell r="F644">
            <v>66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4466</v>
          </cell>
        </row>
        <row r="645">
          <cell r="B645" t="str">
            <v>29110017G4100</v>
          </cell>
          <cell r="E645">
            <v>187000</v>
          </cell>
          <cell r="F645">
            <v>2805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189805</v>
          </cell>
        </row>
        <row r="646">
          <cell r="B646" t="str">
            <v>20411307G0100</v>
          </cell>
          <cell r="E646">
            <v>92390</v>
          </cell>
          <cell r="F646">
            <v>1385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93775</v>
          </cell>
        </row>
        <row r="647">
          <cell r="B647" t="str">
            <v>26300170G1100</v>
          </cell>
          <cell r="E647">
            <v>35308</v>
          </cell>
          <cell r="F647">
            <v>529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35837</v>
          </cell>
        </row>
        <row r="648">
          <cell r="B648" t="str">
            <v>259C0151G0100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</row>
        <row r="649">
          <cell r="B649" t="str">
            <v>259D0394G0100</v>
          </cell>
          <cell r="E649">
            <v>2821</v>
          </cell>
          <cell r="F649">
            <v>42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2863</v>
          </cell>
        </row>
        <row r="650">
          <cell r="B650" t="str">
            <v>20400641G0600</v>
          </cell>
          <cell r="E650">
            <v>48069</v>
          </cell>
          <cell r="F650">
            <v>721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48790</v>
          </cell>
        </row>
        <row r="651">
          <cell r="B651" t="str">
            <v>20400641G0500</v>
          </cell>
          <cell r="E651">
            <v>124069</v>
          </cell>
          <cell r="F651">
            <v>1861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125930</v>
          </cell>
        </row>
        <row r="652">
          <cell r="B652" t="str">
            <v>20400641G0800</v>
          </cell>
          <cell r="E652">
            <v>124069</v>
          </cell>
          <cell r="F652">
            <v>1861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125930</v>
          </cell>
        </row>
        <row r="653">
          <cell r="B653" t="str">
            <v>20400641G0400</v>
          </cell>
          <cell r="E653">
            <v>124069</v>
          </cell>
          <cell r="F653">
            <v>1861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125930</v>
          </cell>
        </row>
        <row r="654">
          <cell r="B654" t="str">
            <v>24110040G0100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</row>
        <row r="655">
          <cell r="B655" t="str">
            <v>24110040G0200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</row>
        <row r="656">
          <cell r="B656" t="str">
            <v>24110040G0300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</row>
        <row r="657">
          <cell r="B657" t="str">
            <v>24110040G0400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</row>
        <row r="658">
          <cell r="B658" t="str">
            <v>24110040G0500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</row>
        <row r="659">
          <cell r="B659" t="str">
            <v>24110040G0600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</row>
        <row r="660">
          <cell r="B660" t="str">
            <v>24110040G0700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</row>
        <row r="661">
          <cell r="B661" t="str">
            <v>24110040G0800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</row>
        <row r="662">
          <cell r="B662" t="str">
            <v>24110040G1100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</row>
        <row r="663">
          <cell r="B663" t="str">
            <v>24110040G1200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</row>
        <row r="664">
          <cell r="B664" t="str">
            <v>24110040G1300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</row>
        <row r="665">
          <cell r="B665" t="str">
            <v>24110040G1400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</row>
        <row r="666">
          <cell r="B666" t="str">
            <v>24110040G1500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</row>
        <row r="667">
          <cell r="B667" t="str">
            <v>24110040G1600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</row>
        <row r="668">
          <cell r="B668" t="str">
            <v>24110040G1700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</row>
        <row r="669">
          <cell r="B669" t="str">
            <v>24110040G1800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</row>
        <row r="670">
          <cell r="B670" t="str">
            <v>24100031G6200</v>
          </cell>
          <cell r="E670">
            <v>76303</v>
          </cell>
          <cell r="F670">
            <v>1144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77447</v>
          </cell>
        </row>
        <row r="671">
          <cell r="B671" t="str">
            <v>24110018G1500</v>
          </cell>
          <cell r="E671">
            <v>85917</v>
          </cell>
          <cell r="F671">
            <v>1288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87205</v>
          </cell>
        </row>
        <row r="672">
          <cell r="B672" t="str">
            <v>24110018G1600</v>
          </cell>
          <cell r="E672">
            <v>116404</v>
          </cell>
          <cell r="F672">
            <v>1746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118150</v>
          </cell>
        </row>
        <row r="673">
          <cell r="B673" t="str">
            <v>24110018G5700</v>
          </cell>
          <cell r="E673">
            <v>172013</v>
          </cell>
          <cell r="F673">
            <v>2580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174593</v>
          </cell>
        </row>
        <row r="674">
          <cell r="B674" t="str">
            <v>24110019G5100</v>
          </cell>
          <cell r="E674">
            <v>78867</v>
          </cell>
          <cell r="F674">
            <v>1183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80050</v>
          </cell>
        </row>
        <row r="675">
          <cell r="B675" t="str">
            <v>24200129G0200</v>
          </cell>
          <cell r="E675">
            <v>39100</v>
          </cell>
          <cell r="F675">
            <v>586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39686</v>
          </cell>
        </row>
        <row r="676">
          <cell r="B676" t="str">
            <v>24210015G0300</v>
          </cell>
          <cell r="E676">
            <v>93955</v>
          </cell>
          <cell r="F676">
            <v>1409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95364</v>
          </cell>
        </row>
        <row r="677">
          <cell r="B677" t="str">
            <v>24200128G0200</v>
          </cell>
          <cell r="E677">
            <v>3037</v>
          </cell>
          <cell r="F677">
            <v>45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3082</v>
          </cell>
        </row>
        <row r="678">
          <cell r="B678" t="str">
            <v>242C0180G0300</v>
          </cell>
          <cell r="E678">
            <v>3402</v>
          </cell>
          <cell r="F678">
            <v>51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3453</v>
          </cell>
        </row>
        <row r="679">
          <cell r="B679" t="str">
            <v>242C0130G0100</v>
          </cell>
          <cell r="E679">
            <v>723</v>
          </cell>
          <cell r="F679">
            <v>10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733</v>
          </cell>
        </row>
        <row r="680">
          <cell r="B680" t="str">
            <v>20410326G0200</v>
          </cell>
          <cell r="E680">
            <v>12580</v>
          </cell>
          <cell r="F680">
            <v>188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12768</v>
          </cell>
        </row>
        <row r="681">
          <cell r="B681" t="str">
            <v>26000099G0100</v>
          </cell>
          <cell r="E681">
            <v>18000</v>
          </cell>
          <cell r="F681">
            <v>270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18270</v>
          </cell>
        </row>
        <row r="682">
          <cell r="B682" t="str">
            <v>26000112G0100</v>
          </cell>
          <cell r="E682">
            <v>5500</v>
          </cell>
          <cell r="F682">
            <v>82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5582</v>
          </cell>
        </row>
        <row r="683">
          <cell r="B683" t="str">
            <v>26000109G0800</v>
          </cell>
          <cell r="E683">
            <v>10950</v>
          </cell>
          <cell r="F683">
            <v>164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11114</v>
          </cell>
        </row>
        <row r="684">
          <cell r="B684" t="str">
            <v>26000109G0900</v>
          </cell>
          <cell r="E684">
            <v>10950</v>
          </cell>
          <cell r="F684">
            <v>164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11114</v>
          </cell>
        </row>
        <row r="685">
          <cell r="B685" t="str">
            <v>26000109G1000</v>
          </cell>
          <cell r="E685">
            <v>10750</v>
          </cell>
          <cell r="F685">
            <v>161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10911</v>
          </cell>
        </row>
        <row r="686">
          <cell r="B686" t="str">
            <v>26000074G0100</v>
          </cell>
          <cell r="E686">
            <v>2520</v>
          </cell>
          <cell r="F686">
            <v>37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2557</v>
          </cell>
        </row>
        <row r="687">
          <cell r="B687" t="str">
            <v>26000074G0500</v>
          </cell>
          <cell r="E687">
            <v>6200</v>
          </cell>
          <cell r="F687">
            <v>93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6293</v>
          </cell>
        </row>
        <row r="688">
          <cell r="B688" t="str">
            <v>26000109G0200</v>
          </cell>
          <cell r="E688">
            <v>11500</v>
          </cell>
          <cell r="F688">
            <v>172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11672</v>
          </cell>
        </row>
        <row r="689">
          <cell r="B689" t="str">
            <v>26000109G0300</v>
          </cell>
          <cell r="E689">
            <v>10300</v>
          </cell>
          <cell r="F689">
            <v>154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10454</v>
          </cell>
        </row>
        <row r="690">
          <cell r="B690" t="str">
            <v>26000111G0100</v>
          </cell>
          <cell r="E690">
            <v>20000</v>
          </cell>
          <cell r="F690">
            <v>300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20300</v>
          </cell>
        </row>
        <row r="691">
          <cell r="B691" t="str">
            <v>28500005G0100</v>
          </cell>
          <cell r="E691">
            <v>13000</v>
          </cell>
          <cell r="F691">
            <v>195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13195</v>
          </cell>
        </row>
        <row r="692">
          <cell r="B692" t="str">
            <v>28500012G0100</v>
          </cell>
          <cell r="E692">
            <v>25000</v>
          </cell>
          <cell r="F692">
            <v>375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25375</v>
          </cell>
        </row>
        <row r="693">
          <cell r="B693" t="str">
            <v>28500012G0200</v>
          </cell>
          <cell r="E693">
            <v>17000</v>
          </cell>
          <cell r="F693">
            <v>255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17255</v>
          </cell>
        </row>
        <row r="694">
          <cell r="B694" t="str">
            <v>26400022G0200</v>
          </cell>
          <cell r="E694">
            <v>24494</v>
          </cell>
          <cell r="F694">
            <v>367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24861</v>
          </cell>
        </row>
        <row r="695">
          <cell r="B695" t="str">
            <v>285B0001G2400</v>
          </cell>
          <cell r="E695">
            <v>17150</v>
          </cell>
          <cell r="F695">
            <v>257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17407</v>
          </cell>
        </row>
        <row r="696">
          <cell r="B696" t="str">
            <v>285B0001G0500</v>
          </cell>
          <cell r="E696">
            <v>25800</v>
          </cell>
          <cell r="F696">
            <v>387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26187</v>
          </cell>
        </row>
        <row r="697">
          <cell r="B697" t="str">
            <v>26000120G0200</v>
          </cell>
          <cell r="E697">
            <v>74406</v>
          </cell>
          <cell r="F697">
            <v>1116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75522</v>
          </cell>
        </row>
        <row r="698">
          <cell r="B698" t="str">
            <v>28610018G0100</v>
          </cell>
          <cell r="E698">
            <v>600</v>
          </cell>
          <cell r="F698">
            <v>9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609</v>
          </cell>
        </row>
        <row r="699">
          <cell r="B699" t="str">
            <v>20410214G0400</v>
          </cell>
          <cell r="E699">
            <v>20960</v>
          </cell>
          <cell r="F699">
            <v>314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21274</v>
          </cell>
        </row>
        <row r="700">
          <cell r="B700" t="str">
            <v>23000030G0100</v>
          </cell>
          <cell r="E700">
            <v>128</v>
          </cell>
          <cell r="F700">
            <v>1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129</v>
          </cell>
        </row>
        <row r="701">
          <cell r="B701" t="str">
            <v>23000030G0500</v>
          </cell>
          <cell r="E701">
            <v>35119</v>
          </cell>
          <cell r="F701">
            <v>526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35645</v>
          </cell>
        </row>
        <row r="702">
          <cell r="B702" t="str">
            <v>23000052G0100</v>
          </cell>
          <cell r="E702">
            <v>1050</v>
          </cell>
          <cell r="F702">
            <v>15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1065</v>
          </cell>
        </row>
        <row r="703">
          <cell r="B703" t="str">
            <v>23000091G0200</v>
          </cell>
          <cell r="E703">
            <v>6370</v>
          </cell>
          <cell r="F703">
            <v>95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6465</v>
          </cell>
        </row>
        <row r="704">
          <cell r="B704" t="str">
            <v>23000100G0100</v>
          </cell>
          <cell r="E704">
            <v>4053</v>
          </cell>
          <cell r="F704">
            <v>60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4113</v>
          </cell>
        </row>
        <row r="705">
          <cell r="B705" t="str">
            <v>23000102G0500</v>
          </cell>
          <cell r="E705">
            <v>2720</v>
          </cell>
          <cell r="F705">
            <v>40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2760</v>
          </cell>
        </row>
        <row r="706">
          <cell r="B706" t="str">
            <v>23000104G0500</v>
          </cell>
          <cell r="E706">
            <v>6116</v>
          </cell>
          <cell r="F706">
            <v>91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6207</v>
          </cell>
        </row>
        <row r="707">
          <cell r="B707" t="str">
            <v>23000049G0100</v>
          </cell>
          <cell r="E707">
            <v>578</v>
          </cell>
          <cell r="F707">
            <v>8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586</v>
          </cell>
        </row>
        <row r="708">
          <cell r="B708" t="str">
            <v>23000049G1700</v>
          </cell>
          <cell r="E708">
            <v>19014</v>
          </cell>
          <cell r="F708">
            <v>285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19299</v>
          </cell>
        </row>
        <row r="709">
          <cell r="B709" t="str">
            <v>23000105G0700</v>
          </cell>
          <cell r="E709">
            <v>10700</v>
          </cell>
          <cell r="F709">
            <v>160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10860</v>
          </cell>
        </row>
        <row r="710">
          <cell r="B710" t="str">
            <v>13110148G0100</v>
          </cell>
          <cell r="E710">
            <v>117600</v>
          </cell>
          <cell r="F710">
            <v>1764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119364</v>
          </cell>
        </row>
        <row r="711">
          <cell r="B711" t="str">
            <v>13110152G0400</v>
          </cell>
          <cell r="E711">
            <v>38988</v>
          </cell>
          <cell r="F711">
            <v>584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39572</v>
          </cell>
        </row>
        <row r="712">
          <cell r="B712" t="str">
            <v>101C0537G0100</v>
          </cell>
          <cell r="E712">
            <v>67716</v>
          </cell>
          <cell r="F712">
            <v>1015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68731</v>
          </cell>
        </row>
        <row r="713">
          <cell r="B713" t="str">
            <v>20000126G0100</v>
          </cell>
          <cell r="E713">
            <v>28100</v>
          </cell>
          <cell r="F713">
            <v>421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28521</v>
          </cell>
        </row>
        <row r="714">
          <cell r="B714" t="str">
            <v>20401342G0300</v>
          </cell>
          <cell r="E714">
            <v>34000</v>
          </cell>
          <cell r="F714">
            <v>510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34510</v>
          </cell>
        </row>
        <row r="715">
          <cell r="B715" t="str">
            <v>29000039G0200</v>
          </cell>
          <cell r="E715">
            <v>112381</v>
          </cell>
          <cell r="F715">
            <v>1685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114066</v>
          </cell>
        </row>
        <row r="716">
          <cell r="B716">
            <v>290100052</v>
          </cell>
          <cell r="E716">
            <v>170000</v>
          </cell>
          <cell r="F716">
            <v>2550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172550</v>
          </cell>
        </row>
        <row r="717">
          <cell r="B717" t="str">
            <v>20411328G0100</v>
          </cell>
          <cell r="E717">
            <v>11900</v>
          </cell>
          <cell r="F717">
            <v>178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12078</v>
          </cell>
        </row>
        <row r="718">
          <cell r="B718" t="str">
            <v>R920000002800</v>
          </cell>
          <cell r="E718">
            <v>110000</v>
          </cell>
          <cell r="F718">
            <v>1650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111650</v>
          </cell>
        </row>
        <row r="719">
          <cell r="B719" t="str">
            <v>R920000002100</v>
          </cell>
          <cell r="E719">
            <v>180000</v>
          </cell>
          <cell r="F719">
            <v>2700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182700</v>
          </cell>
        </row>
        <row r="720">
          <cell r="B720" t="str">
            <v>R920000002200</v>
          </cell>
          <cell r="E720">
            <v>180000</v>
          </cell>
          <cell r="F720">
            <v>2700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182700</v>
          </cell>
        </row>
        <row r="721">
          <cell r="B721" t="str">
            <v>R920000002300</v>
          </cell>
          <cell r="E721">
            <v>180000</v>
          </cell>
          <cell r="F721">
            <v>2700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182700</v>
          </cell>
        </row>
        <row r="722">
          <cell r="B722" t="str">
            <v>R920000002400</v>
          </cell>
          <cell r="E722">
            <v>195000</v>
          </cell>
          <cell r="F722">
            <v>2925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197925</v>
          </cell>
        </row>
        <row r="723">
          <cell r="B723" t="str">
            <v>R920000002500</v>
          </cell>
          <cell r="E723">
            <v>240000</v>
          </cell>
          <cell r="F723">
            <v>3600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243600</v>
          </cell>
        </row>
        <row r="724">
          <cell r="B724" t="str">
            <v>R920000002600</v>
          </cell>
          <cell r="E724">
            <v>150000</v>
          </cell>
          <cell r="F724">
            <v>2250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152250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F628E5-987E-42D5-BF9F-6B16F392AAF1}" name="표1" displayName="표1" ref="B3:C9" totalsRowShown="0" headerRowDxfId="43">
  <tableColumns count="2">
    <tableColumn id="1" xr3:uid="{63A53EB6-BD97-4572-A201-E396FC1005CD}" name="건축 사양" dataDxfId="42"/>
    <tableColumn id="2" xr3:uid="{4AFFEC22-5CF9-44A9-8829-40EFC3C68BAA}" name="DATA 입력" dataDxfId="4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505CD5-9590-462E-8898-18B99898E035}" name="표2" displayName="표2" ref="F3:G14" totalsRowShown="0" headerRowDxfId="40">
  <tableColumns count="2">
    <tableColumn id="1" xr3:uid="{29584748-D5F0-4B84-BDF4-4A13FF1CBA7A}" name="제어 사양" dataDxfId="39"/>
    <tableColumn id="2" xr3:uid="{F5533E84-BE87-40EE-8380-6BC3AA17E030}" name="선택" dataDxfId="3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10FB9D1-0E6E-4A00-ABD1-1C7796638DA7}" name="표12" displayName="표12" ref="J3:K18" totalsRowShown="0" headerRowDxfId="37" headerRowBorderDxfId="36" tableBorderDxfId="35">
  <tableColumns count="2">
    <tableColumn id="1" xr3:uid="{CDC3DF08-0EF0-4757-872E-1F2C1A4AF449}" name="전장류 BD" dataDxfId="34"/>
    <tableColumn id="2" xr3:uid="{0AB26F98-2196-4FA0-A090-614EEF36D17D}" name="수량(입력)" dataDxfId="3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614667-C5DF-425F-8C65-B1092BF20F28}" name="표4" displayName="표4" ref="B2:B31" totalsRowShown="0" headerRowDxfId="32" dataDxfId="31">
  <autoFilter ref="B2:B31" xr:uid="{92DAFC28-A718-4F06-BBD3-FB29AE2D5161}"/>
  <tableColumns count="1">
    <tableColumn id="1" xr3:uid="{1815D055-EF23-40B2-90C8-3F0E907D4990}" name="층수" dataDxfId="3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4A8B25-368B-4B05-851E-8E5B7FF8056C}" name="표5" displayName="표5" ref="D2:D7" totalsRowShown="0" headerRowDxfId="29" dataDxfId="28">
  <autoFilter ref="D2:D7" xr:uid="{789FB452-3AFE-4A1D-A145-B028ADFC9939}"/>
  <tableColumns count="1">
    <tableColumn id="1" xr3:uid="{05059D90-4C1B-4B7C-839A-22C02824D973}" name="속도" dataDxfId="2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197086-BF24-4FC6-BF9C-54F699554729}" name="표6" displayName="표6" ref="F2:F15" totalsRowShown="0" headerRowDxfId="26" dataDxfId="25" dataCellStyle="쉼표 [0]">
  <autoFilter ref="F2:F15" xr:uid="{C6F54754-85CB-4872-A88F-72C52DD200C3}"/>
  <tableColumns count="1">
    <tableColumn id="1" xr3:uid="{137230F6-DA00-458A-BF59-4FEF77542CD6}" name="용량" dataDxfId="24" dataCellStyle="쉼표 [0]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30252DE-F6A6-4B18-AA6F-A80B6C373014}" name="표7" displayName="표7" ref="H2:H5" totalsRowShown="0" headerRowDxfId="23">
  <tableColumns count="1">
    <tableColumn id="1" xr3:uid="{E6B4EE21-EEFD-438D-B583-CB9F805D16D1}" name="인승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ADFDD8B-31EE-4AAF-A185-2EDC7A7034DF}" name="표8" displayName="표8" ref="N2:N4" totalsRowShown="0" headerRowDxfId="22">
  <autoFilter ref="N2:N4" xr:uid="{05D37558-E771-4EE7-9551-F25320F52AEC}"/>
  <tableColumns count="1">
    <tableColumn id="1" xr3:uid="{4BAC0762-45E5-4967-BBE5-2448F7D3B5DD}" name="INVERTER 타입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5B2E308-4D20-45D1-9A9E-48CECE27AC34}" name="MR" displayName="MR" ref="J2:J6" totalsRowShown="0">
  <autoFilter ref="J2:J6" xr:uid="{74D1FC58-EE76-4F8F-BC86-042F647A7B1D}"/>
  <tableColumns count="1">
    <tableColumn id="1" xr3:uid="{9E62825F-7FBD-4DFF-A03D-CAFFDF599442}" name="재질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DA915CD-9D3B-44D6-AF1B-D5782683F3EE}" name="MRL" displayName="MRL" ref="L2:L4" totalsRowShown="0">
  <autoFilter ref="L2:L4" xr:uid="{84B271DB-1344-42F5-8A53-A21A658C9B73}"/>
  <tableColumns count="1">
    <tableColumn id="1" xr3:uid="{7B526EC1-B63F-493C-BBB7-BD3316157204}" name="MR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0640A7C-83AA-422B-8BDC-C4790CDFA03D}" name="표11" displayName="표11" ref="P2:P5" totalsRowShown="0" dataCellStyle="쉼표 [0]">
  <autoFilter ref="P2:P5" xr:uid="{815DF866-6F4D-4B1A-BAB0-2C25081C025D}"/>
  <tableColumns count="1">
    <tableColumn id="1" xr3:uid="{7E5B9914-2AE6-4153-BD0B-F28C1FEAC539}" name="출입구 높이" dataCellStyle="쉼표 [0]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43CA78E-0A62-4C6B-8120-415EE708C0CA}" name="표13" displayName="표13" ref="R2:R4" totalsRowShown="0">
  <autoFilter ref="R2:R4" xr:uid="{27D42936-0769-461C-B424-74C9C2AC0EC0}"/>
  <tableColumns count="1">
    <tableColumn id="1" xr3:uid="{234C1F5E-9036-4FDA-B2DD-6110EC5FF2DC}" name="관통형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778BAE1-8C11-41A4-9024-360B847623FC}" name="표13_15" displayName="표13_15" ref="T2:T4" totalsRowShown="0">
  <autoFilter ref="T2:T4" xr:uid="{6D15F292-5E75-434E-A249-A2B368179BEE}"/>
  <tableColumns count="1">
    <tableColumn id="1" xr3:uid="{550B7888-1F07-4973-B752-06ECAE83400F}" name="장애인용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3C0B88-15E8-4B0B-A750-C78A6194B015}" name="표13_154" displayName="표13_154" ref="V2:V5" totalsRowShown="0">
  <autoFilter ref="V2:V5" xr:uid="{D1C59CA2-DB7B-441C-BEC8-CEA5058A8774}"/>
  <tableColumns count="1">
    <tableColumn id="1" xr3:uid="{5185354A-CB38-4EB9-93BA-B6400AE34D2E}" name="GROUP 운전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F46C1B-7C25-47E2-8A4F-2ED3508791BE}" name="표13_15413" displayName="표13_15413" ref="X2:X4" totalsRowShown="0">
  <autoFilter ref="X2:X4" xr:uid="{137FDAE7-6210-46B8-8E01-81DF402AE2AE}"/>
  <tableColumns count="1">
    <tableColumn id="1" xr3:uid="{E154BB8B-67F7-41F3-A230-7699D78360B2}" name="MRL 도어 방향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E6947FC-EF4E-4CBC-B3E0-40D280A38A04}" name="표8_16" displayName="표8_16" ref="N8:N10" totalsRowShown="0" headerRowDxfId="21">
  <autoFilter ref="N8:N10" xr:uid="{22A40E9F-B3F1-4DE7-B188-EA5FA73181DD}"/>
  <tableColumns count="1">
    <tableColumn id="1" xr3:uid="{78E2AA9B-BE76-463B-B0C9-63BEBF70ECB5}" name="ENCODER 타입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0D504B7-01F9-4BB9-A6A2-B0E92C212C33}" name="표8_1617" displayName="표8_1617" ref="N16:N18" totalsRowShown="0" headerRowDxfId="20">
  <autoFilter ref="N16:N18" xr:uid="{AFBF7080-EFDD-4B90-A3A6-6DDA52E6D883}"/>
  <tableColumns count="1">
    <tableColumn id="1" xr3:uid="{D1DD4B16-4D11-4780-B68B-BFD7EB687D8F}" name="도어 전원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D4743F5-A0A8-4D51-9CD0-C1A52230427A}" name="표18" displayName="표18" ref="AL4:AN9" totalsRowShown="0" headerRowDxfId="19" dataDxfId="18">
  <autoFilter ref="AL4:AN9" xr:uid="{04BBFD65-4F5D-4EC8-A301-9A58AB45A89D}"/>
  <tableColumns count="3">
    <tableColumn id="1" xr3:uid="{01BD8B19-CD6E-4B3D-81CA-133184173175}" name="속도" dataDxfId="17"/>
    <tableColumn id="2" xr3:uid="{95E054BC-2F00-4054-BB12-72C7F082E9B8}" name="OVERHEAD" dataDxfId="16"/>
    <tableColumn id="3" xr3:uid="{D3A4ACC7-CD88-4737-826E-18D2B4E1CA2E}" name="PIT" dataDxfId="15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2B5949F-B530-46EC-8868-E7669838D750}" name="표18_20" displayName="표18_20" ref="AL16:AN21" totalsRowShown="0" headerRowDxfId="14" dataDxfId="13">
  <autoFilter ref="AL16:AN21" xr:uid="{B779D1EC-803C-40E3-9E28-8C9B89EF5C4D}"/>
  <tableColumns count="3">
    <tableColumn id="1" xr3:uid="{BF0799BD-082E-4B11-AF5B-E8F1484CF77E}" name="속도" dataDxfId="12"/>
    <tableColumn id="2" xr3:uid="{5271E07A-8473-4688-AA82-DE770AE282B5}" name="OVERHEAD" dataDxfId="11"/>
    <tableColumn id="3" xr3:uid="{6213D4B7-5E63-48EC-BE27-CC08DD3B4933}" name="PIT" dataDxfId="10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F037DFC-3A34-47E8-A694-728C69A90217}" name="표20" displayName="표20" ref="H23:H24" totalsRowShown="0" dataDxfId="9">
  <tableColumns count="1">
    <tableColumn id="1" xr3:uid="{47BBCDF8-03BF-444C-BB60-D43F6C69312F}" name="모터 전류" dataDxfId="8">
      <calculatedColumnFormula>IF('사양 입력'!$C$9&gt;340,('사양 입력'!$C$9/340)*'사양 입력'!$C$6,'사양 입력'!$C$6)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0D25902-C396-4129-9E7F-317D41A733CC}" name="표21" displayName="표21" ref="V11:V14" totalsRowShown="0">
  <autoFilter ref="V11:V14" xr:uid="{E8E02F10-4A53-4085-B0D8-C56CA7AC5521}"/>
  <tableColumns count="1">
    <tableColumn id="1" xr3:uid="{AE0D0071-1FD1-40B5-9FB4-4A337270F896}" name="HIP 선택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0B241F2-A590-4308-96CC-457C7435D081}" name="표21_23" displayName="표21_23" ref="X11:X14" totalsRowShown="0">
  <autoFilter ref="X11:X14" xr:uid="{474A0C62-D253-488C-A774-858F5B34355A}"/>
  <tableColumns count="1">
    <tableColumn id="1" xr3:uid="{C1F31C9C-B155-4922-906E-45C783EB486B}" name="HPI 선택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1D424B0-9099-4078-8109-88C814B3CD4F}" name="표21_24" displayName="표21_24" ref="V18:V22" totalsRowShown="0">
  <autoFilter ref="V18:V22" xr:uid="{755EED4E-C3F9-4A64-9E0F-B0CDE6D04658}"/>
  <tableColumns count="1">
    <tableColumn id="1" xr3:uid="{2969BB60-0AFF-4A04-8D2D-1A8B2850C3A7}" name="COP 선택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801BAF-4178-4231-A5B2-4DEEA53FB71A}" name="표21_2325" displayName="표21_2325" ref="X18:X21" totalsRowShown="0">
  <autoFilter ref="X18:X21" xr:uid="{3ECBFB68-93F3-4AD9-9B2E-7CBE4D3B98A2}"/>
  <tableColumns count="1">
    <tableColumn id="1" xr3:uid="{A5538DD1-8394-42C3-BE7C-EEE089A99AED}" name="CPI 선택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69A79BA-1E03-4A01-A954-EBC9218DD2B4}" name="표13_1541326" displayName="표13_1541326" ref="Z2:Z10" totalsRowShown="0">
  <autoFilter ref="Z2:Z10" xr:uid="{7021CB6E-5CB7-4CEE-A02A-7741F7CC2DE5}"/>
  <tableColumns count="1">
    <tableColumn id="1" xr3:uid="{7C5578CC-3FA4-4B57-92BF-355397995DD0}" name="운송지역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6EDDFA5-2603-4CA4-B12A-7BBFA8D0992D}" name="표28" displayName="표28" ref="L8:L12" totalsRowShown="0">
  <autoFilter ref="L8:L12" xr:uid="{8931AF68-0BC5-4F28-9035-6040F01B326B}"/>
  <tableColumns count="1">
    <tableColumn id="1" xr3:uid="{44678FF8-F139-4D32-885B-24C50DAF52A1}" name="ROPE BRAK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D972C98-C3BE-45F3-928A-C7AC5DEAEA81}" name="MR_27" displayName="MR_27" ref="J7:J9" totalsRowShown="0">
  <autoFilter ref="J7:J9" xr:uid="{F93F1280-137D-4CF7-AE5F-67FD4831F3EF}"/>
  <tableColumns count="1">
    <tableColumn id="1" xr3:uid="{3C1BBA20-4D47-437D-953A-05A89271CCB4}" name="GD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9FD7BEE-9ACD-4128-A0D7-C50110027202}" name="표18_2028" displayName="표18_2028" ref="AL27:AN30" totalsRowShown="0" headerRowDxfId="7" dataDxfId="6">
  <autoFilter ref="AL27:AN30" xr:uid="{AF9448E2-B070-434F-A1A5-E107375DE9A7}"/>
  <tableColumns count="3">
    <tableColumn id="1" xr3:uid="{D742F0EC-17EE-4BB0-B008-C89E61EBF8E3}" name="속도" dataDxfId="5"/>
    <tableColumn id="2" xr3:uid="{1C2DB069-9B62-48CB-BC7A-15A41F3266A2}" name="OVERHEAD" dataDxfId="4"/>
    <tableColumn id="3" xr3:uid="{260B4013-41B2-447E-B1A9-F2998039FC0F}" name="PIT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13" Type="http://schemas.openxmlformats.org/officeDocument/2006/relationships/table" Target="../tables/table14.xml"/><Relationship Id="rId18" Type="http://schemas.openxmlformats.org/officeDocument/2006/relationships/table" Target="../tables/table19.xml"/><Relationship Id="rId26" Type="http://schemas.openxmlformats.org/officeDocument/2006/relationships/table" Target="../tables/table27.xml"/><Relationship Id="rId3" Type="http://schemas.openxmlformats.org/officeDocument/2006/relationships/table" Target="../tables/table4.xml"/><Relationship Id="rId21" Type="http://schemas.openxmlformats.org/officeDocument/2006/relationships/table" Target="../tables/table22.xml"/><Relationship Id="rId7" Type="http://schemas.openxmlformats.org/officeDocument/2006/relationships/table" Target="../tables/table8.xml"/><Relationship Id="rId12" Type="http://schemas.openxmlformats.org/officeDocument/2006/relationships/table" Target="../tables/table13.xml"/><Relationship Id="rId17" Type="http://schemas.openxmlformats.org/officeDocument/2006/relationships/table" Target="../tables/table18.xml"/><Relationship Id="rId25" Type="http://schemas.openxmlformats.org/officeDocument/2006/relationships/table" Target="../tables/table26.xml"/><Relationship Id="rId2" Type="http://schemas.openxmlformats.org/officeDocument/2006/relationships/drawing" Target="../drawings/drawing2.xml"/><Relationship Id="rId16" Type="http://schemas.openxmlformats.org/officeDocument/2006/relationships/table" Target="../tables/table17.xml"/><Relationship Id="rId20" Type="http://schemas.openxmlformats.org/officeDocument/2006/relationships/table" Target="../tables/table21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24" Type="http://schemas.openxmlformats.org/officeDocument/2006/relationships/table" Target="../tables/table25.xml"/><Relationship Id="rId5" Type="http://schemas.openxmlformats.org/officeDocument/2006/relationships/table" Target="../tables/table6.xml"/><Relationship Id="rId15" Type="http://schemas.openxmlformats.org/officeDocument/2006/relationships/table" Target="../tables/table16.xml"/><Relationship Id="rId23" Type="http://schemas.openxmlformats.org/officeDocument/2006/relationships/table" Target="../tables/table24.xml"/><Relationship Id="rId10" Type="http://schemas.openxmlformats.org/officeDocument/2006/relationships/table" Target="../tables/table11.xml"/><Relationship Id="rId19" Type="http://schemas.openxmlformats.org/officeDocument/2006/relationships/table" Target="../tables/table20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Relationship Id="rId14" Type="http://schemas.openxmlformats.org/officeDocument/2006/relationships/table" Target="../tables/table15.xml"/><Relationship Id="rId22" Type="http://schemas.openxmlformats.org/officeDocument/2006/relationships/table" Target="../tables/table23.xml"/><Relationship Id="rId27" Type="http://schemas.openxmlformats.org/officeDocument/2006/relationships/table" Target="../tables/table2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EEE49-A1F6-4D5E-8F91-5C6477792369}">
  <sheetPr>
    <tabColor rgb="FFFFFF00"/>
    <outlinePr summaryBelow="0" summaryRight="0"/>
    <pageSetUpPr fitToPage="1"/>
  </sheetPr>
  <dimension ref="A1:P58"/>
  <sheetViews>
    <sheetView showGridLines="0" tabSelected="1" view="pageBreakPreview" zoomScale="85" zoomScaleNormal="100" zoomScaleSheetLayoutView="85" workbookViewId="0"/>
  </sheetViews>
  <sheetFormatPr defaultColWidth="15.09765625" defaultRowHeight="15" customHeight="1"/>
  <cols>
    <col min="1" max="1" width="3.59765625" style="197" customWidth="1"/>
    <col min="2" max="2" width="10.8984375" style="197" customWidth="1"/>
    <col min="3" max="3" width="4.59765625" style="197" customWidth="1"/>
    <col min="4" max="4" width="20.59765625" style="197" bestFit="1" customWidth="1"/>
    <col min="5" max="5" width="10" style="206" customWidth="1"/>
    <col min="6" max="6" width="26.8984375" style="197" customWidth="1"/>
    <col min="7" max="7" width="6" style="206" customWidth="1"/>
    <col min="8" max="8" width="6.8984375" style="197" customWidth="1"/>
    <col min="9" max="9" width="12.59765625" style="197" customWidth="1"/>
    <col min="10" max="10" width="18.59765625" style="197" customWidth="1"/>
    <col min="11" max="11" width="15.09765625" style="197"/>
    <col min="12" max="12" width="23.59765625" style="197" bestFit="1" customWidth="1"/>
    <col min="13" max="16384" width="15.09765625" style="197"/>
  </cols>
  <sheetData>
    <row r="1" spans="1:15" ht="14.25" customHeight="1">
      <c r="A1" s="192"/>
      <c r="B1" s="193"/>
      <c r="C1" s="194"/>
      <c r="D1" s="194"/>
      <c r="E1" s="195"/>
      <c r="F1" s="194"/>
      <c r="G1" s="195"/>
      <c r="H1" s="194"/>
      <c r="I1" s="194"/>
      <c r="J1" s="196"/>
    </row>
    <row r="2" spans="1:15" ht="14.25" customHeight="1">
      <c r="A2" s="198"/>
      <c r="B2" s="199"/>
      <c r="C2" s="200"/>
      <c r="D2" s="200"/>
      <c r="E2" s="201"/>
      <c r="F2" s="200"/>
      <c r="G2" s="201"/>
      <c r="H2" s="200"/>
      <c r="I2" s="200"/>
      <c r="J2" s="202"/>
    </row>
    <row r="3" spans="1:15" ht="79.5" customHeight="1">
      <c r="A3" s="203"/>
      <c r="B3" s="204" t="s">
        <v>0</v>
      </c>
      <c r="C3" s="205"/>
      <c r="D3" s="205"/>
      <c r="F3" s="198"/>
      <c r="G3" s="207"/>
      <c r="H3" s="203"/>
      <c r="I3" s="203"/>
      <c r="J3" s="208"/>
    </row>
    <row r="4" spans="1:15" ht="30.75" customHeight="1">
      <c r="A4" s="203"/>
      <c r="B4" s="209"/>
      <c r="C4" s="198"/>
      <c r="D4" s="198"/>
      <c r="E4" s="210"/>
      <c r="F4" s="211"/>
      <c r="G4" s="212"/>
      <c r="H4" s="213"/>
      <c r="I4" s="213"/>
    </row>
    <row r="5" spans="1:15" ht="18" customHeight="1">
      <c r="A5" s="203"/>
      <c r="B5" s="214" t="s">
        <v>1</v>
      </c>
      <c r="C5" s="215"/>
      <c r="D5" s="215"/>
      <c r="E5" s="216"/>
      <c r="F5" s="217"/>
      <c r="G5" s="218"/>
      <c r="H5" s="219"/>
      <c r="I5" s="219"/>
      <c r="J5" s="220" t="s">
        <v>2</v>
      </c>
    </row>
    <row r="6" spans="1:15" ht="17.399999999999999">
      <c r="A6" s="203"/>
      <c r="B6" s="214" t="s">
        <v>3</v>
      </c>
      <c r="C6" s="215"/>
      <c r="D6" s="215"/>
      <c r="E6" s="216"/>
      <c r="F6" s="217"/>
      <c r="G6" s="218"/>
      <c r="H6" s="219"/>
      <c r="I6" s="219"/>
      <c r="J6" s="221">
        <f>DATE(MID(J9,7,4), MID(J9,11,2), MID(J9,13,2))</f>
        <v>46268</v>
      </c>
    </row>
    <row r="7" spans="1:15" ht="17.399999999999999">
      <c r="A7" s="203"/>
      <c r="B7" s="214" t="s">
        <v>4</v>
      </c>
      <c r="C7" s="215"/>
      <c r="D7" s="215"/>
      <c r="E7" s="216"/>
      <c r="F7" s="217"/>
      <c r="G7" s="218"/>
      <c r="H7" s="219"/>
      <c r="I7" s="219"/>
      <c r="J7" s="221"/>
    </row>
    <row r="8" spans="1:15" ht="18" customHeight="1">
      <c r="A8" s="203"/>
      <c r="B8" s="214" t="s">
        <v>5</v>
      </c>
      <c r="C8" s="215"/>
      <c r="D8" s="215"/>
      <c r="E8" s="216"/>
      <c r="F8" s="217"/>
      <c r="G8" s="218"/>
      <c r="H8" s="219"/>
      <c r="I8" s="219"/>
      <c r="J8" s="222" t="s">
        <v>6</v>
      </c>
    </row>
    <row r="9" spans="1:15" ht="18" customHeight="1">
      <c r="A9" s="203"/>
      <c r="B9" s="276" t="s">
        <v>7</v>
      </c>
      <c r="C9" s="215"/>
      <c r="D9" s="215"/>
      <c r="E9" s="216"/>
      <c r="F9" s="217"/>
      <c r="G9" s="218"/>
      <c r="H9" s="219"/>
      <c r="I9" s="219"/>
      <c r="J9" s="223" t="s">
        <v>2456</v>
      </c>
    </row>
    <row r="10" spans="1:15" ht="18" customHeight="1">
      <c r="A10" s="203"/>
      <c r="B10" s="214"/>
      <c r="C10" s="215"/>
      <c r="D10" s="215"/>
      <c r="E10" s="216"/>
      <c r="F10" s="215"/>
      <c r="G10" s="502"/>
      <c r="H10" s="502"/>
      <c r="I10" s="502"/>
      <c r="J10" s="503"/>
    </row>
    <row r="11" spans="1:15" ht="15.75" customHeight="1">
      <c r="A11" s="203"/>
      <c r="B11" s="224" t="s">
        <v>8</v>
      </c>
      <c r="C11" s="225"/>
      <c r="D11" s="225"/>
      <c r="E11" s="216"/>
      <c r="G11" s="224" t="s">
        <v>9</v>
      </c>
      <c r="H11" s="226"/>
      <c r="I11" s="226"/>
      <c r="J11" s="226"/>
    </row>
    <row r="12" spans="1:15" ht="4.5" customHeight="1">
      <c r="A12" s="203"/>
      <c r="B12" s="215"/>
      <c r="C12" s="215"/>
      <c r="D12" s="215"/>
      <c r="E12" s="216"/>
      <c r="G12" s="215"/>
      <c r="H12" s="219"/>
      <c r="I12" s="219"/>
      <c r="J12" s="219"/>
    </row>
    <row r="13" spans="1:15" ht="18" customHeight="1">
      <c r="A13" s="203"/>
      <c r="B13" s="215" t="s">
        <v>2430</v>
      </c>
      <c r="C13" s="214"/>
      <c r="D13" s="215"/>
      <c r="E13" s="216" t="s">
        <v>10</v>
      </c>
      <c r="G13" s="215" t="s">
        <v>2432</v>
      </c>
      <c r="H13" s="215"/>
      <c r="I13" s="215"/>
      <c r="J13" s="215"/>
    </row>
    <row r="14" spans="1:15" ht="18" customHeight="1">
      <c r="A14" s="203"/>
      <c r="B14" s="215" t="s">
        <v>2431</v>
      </c>
      <c r="C14" s="215"/>
      <c r="D14" s="215"/>
      <c r="E14" s="216"/>
      <c r="G14" s="504" t="s">
        <v>2433</v>
      </c>
      <c r="H14" s="504"/>
      <c r="I14" s="504"/>
      <c r="J14" s="504"/>
    </row>
    <row r="15" spans="1:15" ht="18" customHeight="1">
      <c r="A15" s="203"/>
      <c r="B15" s="495" t="str">
        <f>"견 적 명 : "&amp;TRIM(REPLACE($G$13,1,8,""))&amp;" 제어반 판매 견적서"</f>
        <v>견 적 명 :  제어반 판매 견적서</v>
      </c>
      <c r="C15" s="215"/>
      <c r="D15" s="215"/>
      <c r="E15" s="216"/>
      <c r="G15" s="504" t="s">
        <v>11</v>
      </c>
      <c r="H15" s="504"/>
      <c r="I15" s="504"/>
      <c r="J15" s="504"/>
    </row>
    <row r="16" spans="1:15" ht="18" customHeight="1">
      <c r="A16" s="203"/>
      <c r="B16" s="214"/>
      <c r="C16" s="215"/>
      <c r="D16" s="215"/>
      <c r="E16" s="216"/>
      <c r="L16" s="476">
        <v>0.06</v>
      </c>
      <c r="M16" s="477">
        <v>0.05</v>
      </c>
      <c r="N16" s="477">
        <v>0.1</v>
      </c>
      <c r="O16" s="477">
        <v>0.11</v>
      </c>
    </row>
    <row r="17" spans="1:16" ht="18" customHeight="1">
      <c r="A17" s="203"/>
      <c r="B17" s="227" t="s">
        <v>12</v>
      </c>
      <c r="C17" s="228"/>
      <c r="D17" s="228"/>
      <c r="E17" s="229"/>
      <c r="F17" s="228"/>
      <c r="J17" s="230" t="s">
        <v>13</v>
      </c>
      <c r="O17" s="197" t="s">
        <v>2438</v>
      </c>
    </row>
    <row r="18" spans="1:16" ht="4.5" customHeight="1">
      <c r="A18" s="203"/>
      <c r="B18" s="198"/>
      <c r="C18" s="198"/>
      <c r="D18" s="198"/>
      <c r="E18" s="210"/>
      <c r="F18" s="198"/>
      <c r="G18" s="210"/>
      <c r="H18" s="198"/>
      <c r="I18" s="198"/>
      <c r="J18" s="198"/>
    </row>
    <row r="19" spans="1:16" ht="18" customHeight="1">
      <c r="A19" s="203"/>
      <c r="B19" s="231" t="s">
        <v>14</v>
      </c>
      <c r="C19" s="231" t="s">
        <v>15</v>
      </c>
      <c r="D19" s="231" t="s">
        <v>16</v>
      </c>
      <c r="E19" s="231" t="s">
        <v>17</v>
      </c>
      <c r="F19" s="231" t="s">
        <v>18</v>
      </c>
      <c r="G19" s="231" t="s">
        <v>19</v>
      </c>
      <c r="H19" s="231" t="s">
        <v>20</v>
      </c>
      <c r="I19" s="231" t="s">
        <v>21</v>
      </c>
      <c r="J19" s="473" t="s">
        <v>22</v>
      </c>
      <c r="K19" s="478" t="s">
        <v>742</v>
      </c>
      <c r="L19" s="479" t="s">
        <v>2434</v>
      </c>
      <c r="M19" s="479" t="s">
        <v>2435</v>
      </c>
      <c r="N19" s="479" t="s">
        <v>2436</v>
      </c>
      <c r="O19" s="479" t="s">
        <v>2437</v>
      </c>
    </row>
    <row r="20" spans="1:16" ht="25.5" customHeight="1">
      <c r="A20" s="203"/>
      <c r="B20" s="287" t="s">
        <v>23</v>
      </c>
      <c r="C20" s="232"/>
      <c r="D20" s="232" t="s">
        <v>24</v>
      </c>
      <c r="E20" s="232"/>
      <c r="F20" s="233" t="s">
        <v>2439</v>
      </c>
      <c r="G20" s="234" t="s">
        <v>25</v>
      </c>
      <c r="H20" s="288">
        <v>1</v>
      </c>
      <c r="I20" s="235">
        <f>O20</f>
        <v>8786241.2639166191</v>
      </c>
      <c r="J20" s="474">
        <f>H20*I20</f>
        <v>8786241.2639166191</v>
      </c>
      <c r="K20" s="475">
        <f>IF('사양 입력'!$K$18="Y",'사양 입력'!$G$16+10000,'사양 입력'!$G$16)</f>
        <v>6465353.8104999997</v>
      </c>
      <c r="L20" s="475">
        <f>K20*(1+$L$16)</f>
        <v>6853275.0391300004</v>
      </c>
      <c r="M20" s="475">
        <f>L20*(1+$M$16)</f>
        <v>7195938.7910865005</v>
      </c>
      <c r="N20" s="475">
        <f>M20*(1+$N$16)</f>
        <v>7915532.6701951511</v>
      </c>
      <c r="O20" s="475">
        <f>N20*(1+$O$16)</f>
        <v>8786241.2639166191</v>
      </c>
      <c r="P20" s="298"/>
    </row>
    <row r="21" spans="1:16" ht="25.5" customHeight="1">
      <c r="A21" s="203"/>
      <c r="B21" s="289"/>
      <c r="C21" s="232"/>
      <c r="D21" s="233"/>
      <c r="E21" s="232"/>
      <c r="F21" s="233"/>
      <c r="G21" s="234"/>
      <c r="H21" s="288"/>
      <c r="I21" s="235"/>
      <c r="J21" s="474"/>
      <c r="K21" s="41"/>
      <c r="L21" s="476"/>
      <c r="M21" s="477"/>
      <c r="N21" s="477"/>
      <c r="O21" s="477"/>
      <c r="P21" s="298"/>
    </row>
    <row r="22" spans="1:16" ht="25.5" customHeight="1">
      <c r="A22" s="203"/>
      <c r="B22" s="289"/>
      <c r="C22" s="232"/>
      <c r="D22" s="232"/>
      <c r="E22" s="232"/>
      <c r="F22" s="233"/>
      <c r="G22" s="233"/>
      <c r="H22" s="288"/>
      <c r="I22" s="235"/>
      <c r="J22" s="235"/>
      <c r="K22" s="298"/>
      <c r="L22" s="41"/>
      <c r="M22" s="303"/>
      <c r="N22" s="303"/>
      <c r="O22" s="303"/>
      <c r="P22" s="298"/>
    </row>
    <row r="23" spans="1:16" ht="25.5" customHeight="1">
      <c r="A23" s="203"/>
      <c r="B23" s="289"/>
      <c r="C23" s="232"/>
      <c r="D23" s="232"/>
      <c r="E23" s="232"/>
      <c r="F23" s="233"/>
      <c r="G23" s="233"/>
      <c r="H23" s="288"/>
      <c r="I23" s="235"/>
      <c r="J23" s="235"/>
      <c r="K23" s="298"/>
      <c r="L23" s="41"/>
      <c r="M23" s="298"/>
      <c r="N23" s="298"/>
      <c r="O23" s="298"/>
      <c r="P23" s="298"/>
    </row>
    <row r="24" spans="1:16" ht="15" customHeight="1">
      <c r="A24" s="203"/>
      <c r="B24" s="289"/>
      <c r="C24" s="232"/>
      <c r="D24" s="232" t="s">
        <v>26</v>
      </c>
      <c r="E24" s="232"/>
      <c r="F24" s="233"/>
      <c r="G24" s="233"/>
      <c r="H24" s="290"/>
      <c r="I24" s="235"/>
      <c r="J24" s="235"/>
      <c r="K24" s="298"/>
      <c r="L24" s="297"/>
      <c r="M24" s="298"/>
      <c r="N24" s="298"/>
      <c r="O24" s="298"/>
      <c r="P24" s="298"/>
    </row>
    <row r="25" spans="1:16" ht="15" customHeight="1">
      <c r="A25" s="203"/>
      <c r="B25" s="289"/>
      <c r="C25" s="232"/>
      <c r="D25" s="232" t="s">
        <v>27</v>
      </c>
      <c r="E25" s="232"/>
      <c r="F25" s="233" t="str">
        <f>'사양 입력'!B18</f>
        <v>MR, 일반형, 7.5KW, GI</v>
      </c>
      <c r="G25" s="234"/>
      <c r="H25" s="290"/>
      <c r="I25" s="235"/>
      <c r="J25" s="235"/>
      <c r="K25" s="298"/>
      <c r="L25" s="298"/>
      <c r="M25" s="472"/>
      <c r="N25" s="298"/>
      <c r="O25" s="298"/>
      <c r="P25" s="298"/>
    </row>
    <row r="26" spans="1:16" ht="15" customHeight="1">
      <c r="A26" s="203"/>
      <c r="B26" s="289"/>
      <c r="C26" s="232"/>
      <c r="D26" s="232" t="s">
        <v>28</v>
      </c>
      <c r="E26" s="232"/>
      <c r="F26" s="233" t="s">
        <v>29</v>
      </c>
      <c r="G26" s="234"/>
      <c r="H26" s="290"/>
      <c r="I26" s="235"/>
      <c r="J26" s="235"/>
      <c r="K26" s="298"/>
      <c r="L26" s="298"/>
    </row>
    <row r="27" spans="1:16" ht="15" customHeight="1">
      <c r="A27" s="203"/>
      <c r="B27" s="289"/>
      <c r="C27" s="232"/>
      <c r="D27" s="232" t="s">
        <v>30</v>
      </c>
      <c r="E27" s="232"/>
      <c r="F27" s="233" t="s">
        <v>31</v>
      </c>
      <c r="G27" s="234"/>
      <c r="H27" s="290"/>
      <c r="I27" s="235"/>
      <c r="J27" s="235"/>
    </row>
    <row r="28" spans="1:16" ht="15" customHeight="1">
      <c r="A28" s="203"/>
      <c r="B28" s="289"/>
      <c r="C28" s="232"/>
      <c r="D28" s="232" t="s">
        <v>32</v>
      </c>
      <c r="E28" s="232"/>
      <c r="F28" s="233" t="s">
        <v>33</v>
      </c>
      <c r="G28" s="234"/>
      <c r="H28" s="290"/>
      <c r="I28" s="235"/>
      <c r="J28" s="235"/>
      <c r="L28" s="296"/>
      <c r="M28" s="296"/>
      <c r="O28" s="296"/>
    </row>
    <row r="29" spans="1:16" ht="15" customHeight="1">
      <c r="A29" s="203"/>
      <c r="B29" s="289"/>
      <c r="C29" s="232"/>
      <c r="D29" s="232" t="s">
        <v>34</v>
      </c>
      <c r="E29" s="232"/>
      <c r="F29" s="233" t="s">
        <v>35</v>
      </c>
      <c r="G29" s="234"/>
      <c r="H29" s="291"/>
      <c r="I29" s="235"/>
      <c r="J29" s="235"/>
      <c r="K29" s="297"/>
    </row>
    <row r="30" spans="1:16" ht="15" customHeight="1">
      <c r="A30" s="203"/>
      <c r="B30" s="289"/>
      <c r="C30" s="232"/>
      <c r="D30" s="232" t="s">
        <v>36</v>
      </c>
      <c r="E30" s="232"/>
      <c r="F30" s="233" t="s">
        <v>37</v>
      </c>
      <c r="G30" s="234"/>
      <c r="H30" s="291"/>
      <c r="I30" s="235"/>
      <c r="J30" s="235"/>
      <c r="K30" s="297"/>
    </row>
    <row r="31" spans="1:16" ht="15" customHeight="1">
      <c r="A31" s="203"/>
      <c r="B31" s="289"/>
      <c r="C31" s="232"/>
      <c r="D31" s="232"/>
      <c r="E31" s="232"/>
      <c r="F31" s="233"/>
      <c r="G31" s="234"/>
      <c r="H31" s="291"/>
      <c r="I31" s="235"/>
      <c r="J31" s="235"/>
      <c r="K31" s="297"/>
    </row>
    <row r="32" spans="1:16" ht="15" customHeight="1">
      <c r="A32" s="203"/>
      <c r="B32" s="289"/>
      <c r="C32" s="232"/>
      <c r="D32" s="232"/>
      <c r="E32" s="232"/>
      <c r="F32" s="233" t="s">
        <v>38</v>
      </c>
      <c r="G32" s="236"/>
      <c r="H32" s="284">
        <f>SUM(H20:H23)</f>
        <v>1</v>
      </c>
      <c r="I32" s="285"/>
      <c r="J32" s="284">
        <f>SUM(J20:J23)</f>
        <v>8786241.2639166191</v>
      </c>
      <c r="K32" s="41"/>
    </row>
    <row r="33" spans="1:12" ht="15" customHeight="1">
      <c r="A33" s="203"/>
      <c r="B33" s="289"/>
      <c r="C33" s="232"/>
      <c r="D33" s="232"/>
      <c r="E33" s="232"/>
      <c r="F33" s="233"/>
      <c r="G33" s="236"/>
      <c r="H33" s="284"/>
      <c r="I33" s="285"/>
      <c r="J33" s="284"/>
      <c r="K33" s="298"/>
    </row>
    <row r="34" spans="1:12" ht="15" customHeight="1">
      <c r="A34" s="203"/>
      <c r="B34" s="305"/>
      <c r="C34" s="237"/>
      <c r="D34" s="237"/>
      <c r="E34" s="237"/>
      <c r="F34" s="306"/>
      <c r="G34" s="307"/>
      <c r="H34" s="308"/>
      <c r="I34" s="286"/>
      <c r="J34" s="471"/>
      <c r="K34" s="298"/>
    </row>
    <row r="35" spans="1:12" ht="6" customHeight="1">
      <c r="A35" s="203"/>
      <c r="B35" s="292"/>
      <c r="C35" s="238"/>
      <c r="D35" s="238"/>
      <c r="E35" s="238"/>
      <c r="F35" s="293"/>
      <c r="G35" s="294"/>
      <c r="H35" s="295"/>
      <c r="I35" s="295"/>
      <c r="J35" s="295"/>
    </row>
    <row r="36" spans="1:12" ht="15" customHeight="1">
      <c r="A36" s="203"/>
      <c r="G36" s="239"/>
      <c r="H36" s="240"/>
      <c r="I36" s="240"/>
      <c r="J36" s="241"/>
      <c r="L36" s="248"/>
    </row>
    <row r="37" spans="1:12" ht="18" customHeight="1">
      <c r="A37" s="203"/>
      <c r="C37" s="242"/>
      <c r="D37" s="242"/>
      <c r="E37" s="243"/>
      <c r="F37" s="242"/>
      <c r="G37" s="244" t="s">
        <v>39</v>
      </c>
      <c r="H37" s="245"/>
      <c r="I37" s="246"/>
      <c r="J37" s="247">
        <f>ROUNDDOWN(SUM(J32:J34),-4)</f>
        <v>8780000</v>
      </c>
      <c r="L37" s="470"/>
    </row>
    <row r="38" spans="1:12" ht="15" customHeight="1">
      <c r="A38" s="203"/>
      <c r="E38" s="197"/>
      <c r="G38" s="197"/>
      <c r="I38" s="249"/>
      <c r="J38" s="250" t="s">
        <v>40</v>
      </c>
      <c r="K38" s="251"/>
      <c r="L38" s="253"/>
    </row>
    <row r="39" spans="1:12" ht="15" customHeight="1">
      <c r="A39" s="203"/>
      <c r="B39" s="496" t="s">
        <v>41</v>
      </c>
      <c r="C39" s="497"/>
      <c r="D39" s="497"/>
      <c r="E39" s="497"/>
      <c r="F39" s="497"/>
      <c r="G39" s="240"/>
      <c r="H39" s="240"/>
      <c r="I39" s="252"/>
      <c r="J39" s="253"/>
      <c r="K39" s="253"/>
    </row>
    <row r="40" spans="1:12" ht="15" customHeight="1">
      <c r="A40" s="203"/>
      <c r="B40" s="254" t="s">
        <v>42</v>
      </c>
      <c r="C40" s="255"/>
      <c r="D40" s="255"/>
      <c r="E40" s="255"/>
      <c r="F40" s="255"/>
      <c r="G40" s="255"/>
      <c r="H40" s="255"/>
      <c r="I40" s="255"/>
      <c r="J40" s="256"/>
    </row>
    <row r="41" spans="1:12" ht="15" customHeight="1">
      <c r="A41" s="203"/>
      <c r="B41" s="282" t="s">
        <v>2428</v>
      </c>
      <c r="C41" s="257"/>
      <c r="D41" s="257"/>
      <c r="E41" s="257"/>
      <c r="F41" s="257"/>
      <c r="G41" s="257"/>
      <c r="H41" s="257"/>
      <c r="I41" s="257"/>
      <c r="J41" s="258"/>
    </row>
    <row r="42" spans="1:12" ht="15" customHeight="1">
      <c r="A42" s="203"/>
      <c r="B42" s="283" t="s">
        <v>2429</v>
      </c>
      <c r="C42" s="257"/>
      <c r="D42" s="257"/>
      <c r="E42" s="257"/>
      <c r="F42" s="257"/>
      <c r="G42" s="257"/>
      <c r="H42" s="257"/>
      <c r="I42" s="257"/>
      <c r="J42" s="258"/>
    </row>
    <row r="43" spans="1:12" ht="15" customHeight="1">
      <c r="A43" s="203"/>
      <c r="B43" s="480"/>
      <c r="C43" s="259"/>
      <c r="D43" s="259"/>
      <c r="E43" s="259"/>
      <c r="F43" s="259"/>
      <c r="G43" s="259"/>
      <c r="H43" s="259"/>
      <c r="I43" s="259"/>
      <c r="J43" s="260"/>
    </row>
    <row r="44" spans="1:12" ht="13.5" customHeight="1">
      <c r="A44" s="203"/>
      <c r="B44" s="261" t="s">
        <v>43</v>
      </c>
      <c r="C44" s="242"/>
      <c r="D44" s="242"/>
      <c r="E44" s="243"/>
      <c r="F44" s="262"/>
      <c r="G44" s="239"/>
      <c r="H44" s="240"/>
      <c r="I44" s="240"/>
      <c r="J44" s="263"/>
      <c r="L44" s="242"/>
    </row>
    <row r="45" spans="1:12" s="242" customFormat="1" ht="20.100000000000001" customHeight="1">
      <c r="A45" s="203"/>
      <c r="B45" s="264" t="s">
        <v>44</v>
      </c>
      <c r="C45" s="265"/>
      <c r="D45" s="265"/>
      <c r="E45" s="266"/>
      <c r="F45" s="265"/>
      <c r="G45" s="266"/>
      <c r="H45" s="265"/>
      <c r="I45" s="265"/>
      <c r="J45" s="265"/>
    </row>
    <row r="46" spans="1:12" s="242" customFormat="1" ht="20.100000000000001" customHeight="1">
      <c r="A46" s="203"/>
      <c r="B46" s="264" t="s">
        <v>45</v>
      </c>
      <c r="C46" s="267"/>
      <c r="D46" s="265"/>
      <c r="E46" s="266"/>
      <c r="F46" s="267"/>
      <c r="G46" s="266"/>
      <c r="H46" s="265"/>
      <c r="I46" s="265"/>
      <c r="J46" s="267"/>
    </row>
    <row r="47" spans="1:12" s="242" customFormat="1" ht="20.100000000000001" customHeight="1">
      <c r="A47" s="203"/>
      <c r="B47" s="264" t="s">
        <v>46</v>
      </c>
      <c r="C47" s="267"/>
      <c r="D47" s="265"/>
      <c r="E47" s="266"/>
      <c r="F47" s="267"/>
      <c r="G47" s="266"/>
      <c r="H47" s="265"/>
      <c r="I47" s="265"/>
      <c r="J47" s="267"/>
    </row>
    <row r="48" spans="1:12" ht="8.25" customHeight="1">
      <c r="A48" s="203"/>
      <c r="B48" s="268"/>
      <c r="C48" s="268"/>
      <c r="D48" s="268"/>
      <c r="E48" s="268"/>
      <c r="F48" s="268"/>
      <c r="G48" s="268"/>
      <c r="H48" s="268"/>
      <c r="I48" s="268"/>
      <c r="J48" s="268"/>
    </row>
    <row r="49" spans="1:10" ht="9.75" customHeight="1">
      <c r="A49" s="203"/>
      <c r="B49" s="269"/>
      <c r="C49" s="269"/>
      <c r="D49" s="269"/>
      <c r="E49" s="269"/>
      <c r="F49" s="269"/>
      <c r="G49" s="269"/>
      <c r="H49" s="269"/>
      <c r="I49" s="269"/>
      <c r="J49" s="269"/>
    </row>
    <row r="50" spans="1:10" ht="19.5" customHeight="1">
      <c r="A50" s="203"/>
      <c r="B50" s="270" t="s">
        <v>47</v>
      </c>
      <c r="C50" s="269"/>
      <c r="D50" s="269"/>
      <c r="E50" s="269"/>
      <c r="F50" s="269"/>
      <c r="G50" s="271"/>
      <c r="H50" s="269"/>
      <c r="I50" s="272"/>
      <c r="J50" s="272"/>
    </row>
    <row r="51" spans="1:10" ht="20.25" customHeight="1">
      <c r="A51" s="203"/>
      <c r="B51" s="267" t="s">
        <v>48</v>
      </c>
      <c r="C51" s="273"/>
      <c r="D51" s="273"/>
      <c r="E51" s="274"/>
      <c r="F51" s="273"/>
      <c r="G51" s="275" t="s">
        <v>49</v>
      </c>
      <c r="H51" s="272"/>
      <c r="J51" s="272"/>
    </row>
    <row r="52" spans="1:10" ht="20.25" customHeight="1">
      <c r="A52" s="203"/>
      <c r="B52" s="267" t="s">
        <v>50</v>
      </c>
      <c r="C52" s="273"/>
      <c r="D52" s="273"/>
      <c r="E52" s="274"/>
      <c r="F52" s="273"/>
      <c r="G52" s="505" t="s">
        <v>51</v>
      </c>
      <c r="H52" s="506"/>
      <c r="I52" s="507"/>
      <c r="J52" s="508"/>
    </row>
    <row r="53" spans="1:10" ht="20.25" customHeight="1">
      <c r="A53" s="203"/>
      <c r="B53" s="273" t="s">
        <v>52</v>
      </c>
      <c r="C53" s="273"/>
      <c r="D53" s="273"/>
      <c r="E53" s="274"/>
      <c r="F53" s="273"/>
      <c r="G53" s="509" t="s">
        <v>53</v>
      </c>
      <c r="H53" s="510"/>
      <c r="I53" s="511"/>
      <c r="J53" s="512"/>
    </row>
    <row r="54" spans="1:10" ht="20.25" customHeight="1">
      <c r="A54" s="203"/>
      <c r="B54" s="273" t="s">
        <v>54</v>
      </c>
      <c r="C54" s="273"/>
      <c r="D54" s="273"/>
      <c r="E54" s="274"/>
      <c r="F54" s="273"/>
      <c r="G54" s="513" t="s">
        <v>55</v>
      </c>
      <c r="H54" s="510"/>
      <c r="I54" s="276"/>
      <c r="J54" s="277"/>
    </row>
    <row r="55" spans="1:10" ht="20.25" customHeight="1">
      <c r="A55" s="203"/>
      <c r="B55" s="273" t="s">
        <v>56</v>
      </c>
      <c r="C55" s="273"/>
      <c r="D55" s="273"/>
      <c r="E55" s="274"/>
      <c r="F55" s="273"/>
      <c r="G55" s="498" t="s">
        <v>57</v>
      </c>
      <c r="H55" s="499"/>
      <c r="I55" s="500"/>
      <c r="J55" s="501"/>
    </row>
    <row r="56" spans="1:10" ht="19.5" customHeight="1">
      <c r="A56" s="203"/>
      <c r="B56" s="273"/>
      <c r="C56" s="273"/>
      <c r="D56" s="273"/>
      <c r="E56" s="274"/>
      <c r="F56" s="273"/>
      <c r="G56" s="267"/>
      <c r="H56" s="271"/>
      <c r="I56" s="276"/>
      <c r="J56" s="276"/>
    </row>
    <row r="57" spans="1:10" ht="7.5" customHeight="1">
      <c r="A57" s="203"/>
      <c r="B57" s="203"/>
      <c r="C57" s="203"/>
      <c r="D57" s="203"/>
      <c r="E57" s="207"/>
      <c r="F57" s="203"/>
      <c r="G57" s="280"/>
      <c r="H57" s="281"/>
      <c r="I57" s="281"/>
      <c r="J57" s="281"/>
    </row>
    <row r="58" spans="1:10" ht="15.75" customHeight="1">
      <c r="A58" s="278"/>
      <c r="B58" s="278"/>
      <c r="C58" s="278"/>
      <c r="D58" s="278"/>
      <c r="E58" s="279"/>
      <c r="F58" s="278"/>
      <c r="G58" s="279"/>
      <c r="H58" s="278"/>
      <c r="I58" s="278"/>
      <c r="J58" s="278"/>
    </row>
  </sheetData>
  <mergeCells count="11">
    <mergeCell ref="B39:F39"/>
    <mergeCell ref="G55:H55"/>
    <mergeCell ref="I55:J55"/>
    <mergeCell ref="G10:J10"/>
    <mergeCell ref="G14:J14"/>
    <mergeCell ref="G15:J15"/>
    <mergeCell ref="G52:H52"/>
    <mergeCell ref="I52:J52"/>
    <mergeCell ref="G53:H53"/>
    <mergeCell ref="I53:J53"/>
    <mergeCell ref="G54:H54"/>
  </mergeCells>
  <phoneticPr fontId="1" type="noConversion"/>
  <printOptions horizontalCentered="1" verticalCentered="1"/>
  <pageMargins left="0" right="0" top="0" bottom="0" header="0" footer="0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9F64-8BA3-48A6-A6C6-B81C52423987}">
  <sheetPr codeName="Sheet1">
    <tabColor theme="4"/>
    <pageSetUpPr fitToPage="1"/>
  </sheetPr>
  <dimension ref="A1:W39"/>
  <sheetViews>
    <sheetView zoomScale="85" zoomScaleNormal="85" workbookViewId="0"/>
  </sheetViews>
  <sheetFormatPr defaultColWidth="8.8984375" defaultRowHeight="17.399999999999999"/>
  <cols>
    <col min="1" max="1" width="10.59765625" customWidth="1"/>
    <col min="2" max="2" width="16.09765625" customWidth="1"/>
    <col min="3" max="3" width="17.09765625" customWidth="1"/>
    <col min="4" max="4" width="6.3984375" customWidth="1"/>
    <col min="5" max="5" width="4.3984375" customWidth="1"/>
    <col min="6" max="6" width="21.8984375" customWidth="1"/>
    <col min="7" max="7" width="18.09765625" customWidth="1"/>
    <col min="8" max="8" width="6" customWidth="1"/>
    <col min="9" max="9" width="4.09765625" customWidth="1"/>
    <col min="10" max="10" width="33.8984375" customWidth="1"/>
    <col min="11" max="11" width="15.69921875" customWidth="1"/>
    <col min="12" max="12" width="12.09765625" customWidth="1"/>
    <col min="13" max="13" width="9" customWidth="1"/>
    <col min="14" max="14" width="11" customWidth="1"/>
    <col min="15" max="15" width="10.8984375" customWidth="1"/>
    <col min="17" max="17" width="11.5" bestFit="1" customWidth="1"/>
    <col min="18" max="18" width="12.59765625" bestFit="1" customWidth="1"/>
    <col min="19" max="19" width="15.5" customWidth="1"/>
    <col min="21" max="21" width="9.8984375" bestFit="1" customWidth="1"/>
    <col min="22" max="23" width="11.5" bestFit="1" customWidth="1"/>
  </cols>
  <sheetData>
    <row r="1" spans="1:19" ht="27.75" customHeight="1">
      <c r="B1" s="84" t="s">
        <v>58</v>
      </c>
      <c r="C1" s="85"/>
      <c r="D1" s="85"/>
      <c r="E1" s="85"/>
      <c r="F1" s="84" t="s">
        <v>59</v>
      </c>
      <c r="G1" s="85"/>
      <c r="H1" s="85"/>
      <c r="I1" s="85"/>
      <c r="J1" s="84" t="s">
        <v>60</v>
      </c>
    </row>
    <row r="2" spans="1:19" ht="11.25" customHeight="1"/>
    <row r="3" spans="1:19">
      <c r="B3" s="1" t="s">
        <v>61</v>
      </c>
      <c r="C3" s="1" t="s">
        <v>62</v>
      </c>
      <c r="D3" s="1"/>
      <c r="F3" s="1" t="s">
        <v>63</v>
      </c>
      <c r="G3" s="1" t="s">
        <v>64</v>
      </c>
      <c r="J3" s="66" t="s">
        <v>65</v>
      </c>
      <c r="K3" s="67" t="s">
        <v>66</v>
      </c>
      <c r="M3" t="s">
        <v>67</v>
      </c>
      <c r="N3" s="169" t="str">
        <f>WBLX!AE6</f>
        <v xml:space="preserve"> 제어반</v>
      </c>
      <c r="O3" s="170">
        <f>WBLX!AF6</f>
        <v>2934692.1159999999</v>
      </c>
    </row>
    <row r="4" spans="1:19">
      <c r="A4" s="15" t="s">
        <v>68</v>
      </c>
      <c r="B4" s="53" t="s">
        <v>69</v>
      </c>
      <c r="C4" s="20"/>
      <c r="D4" s="20"/>
      <c r="E4" t="s">
        <v>64</v>
      </c>
      <c r="F4" s="53" t="s">
        <v>70</v>
      </c>
      <c r="G4" s="20" t="s">
        <v>2455</v>
      </c>
      <c r="I4" t="s">
        <v>64</v>
      </c>
      <c r="J4" s="53" t="s">
        <v>71</v>
      </c>
      <c r="K4" s="20">
        <f>IF(G9="YES",2,1)</f>
        <v>1</v>
      </c>
      <c r="N4" s="169" t="str">
        <f>WBLX!AE7</f>
        <v>카탑</v>
      </c>
      <c r="O4" s="170">
        <f>WBLX!AF7</f>
        <v>358061</v>
      </c>
    </row>
    <row r="5" spans="1:19">
      <c r="A5" s="15" t="s">
        <v>68</v>
      </c>
      <c r="B5" s="53" t="s">
        <v>72</v>
      </c>
      <c r="C5" s="72">
        <v>6.3</v>
      </c>
      <c r="D5" s="20"/>
      <c r="E5" t="s">
        <v>64</v>
      </c>
      <c r="F5" s="53" t="s">
        <v>73</v>
      </c>
      <c r="G5" s="20" t="s">
        <v>1849</v>
      </c>
      <c r="H5" s="83" t="str">
        <f>IF(AND($G$4="MR",$G$5="GI"),"",IF(AND($G$4="MR",$G$5="GI+PAINT"),"",IF(AND($G$4="MRL",$G$5="ALL SUS-HL"),"",IF(AND($G$4="MRL",$G$5="DOOR만 SUS-HL"),"",IF(AND($G$4="GD",$G$5="GI"),"",IF(AND($G$4="GD",$G$5="GI+PAINT"),"","◀재질"))))))</f>
        <v/>
      </c>
      <c r="I5" t="s">
        <v>64</v>
      </c>
      <c r="J5" s="53" t="s">
        <v>74</v>
      </c>
      <c r="K5" s="48">
        <f>C7-1</f>
        <v>14</v>
      </c>
      <c r="N5" s="169" t="str">
        <f>WBLX!AE8</f>
        <v>의장보드</v>
      </c>
      <c r="O5" s="170">
        <f>WBLX!AF8</f>
        <v>517867</v>
      </c>
    </row>
    <row r="6" spans="1:19" ht="18" thickBot="1">
      <c r="A6" s="15" t="s">
        <v>68</v>
      </c>
      <c r="B6" s="53" t="s">
        <v>75</v>
      </c>
      <c r="C6" s="74">
        <v>16</v>
      </c>
      <c r="D6" s="47"/>
      <c r="E6" t="s">
        <v>64</v>
      </c>
      <c r="F6" s="53" t="s">
        <v>76</v>
      </c>
      <c r="G6" s="20" t="s">
        <v>77</v>
      </c>
      <c r="J6" s="53" t="s">
        <v>78</v>
      </c>
      <c r="K6" s="20">
        <f>$C$7-($C$7-1)</f>
        <v>1</v>
      </c>
      <c r="N6" s="169" t="str">
        <f>WBLX!AE9</f>
        <v>케이블</v>
      </c>
      <c r="O6" s="170">
        <f>WBLX!AF9</f>
        <v>1547807.8000000003</v>
      </c>
    </row>
    <row r="7" spans="1:19">
      <c r="A7" s="15" t="s">
        <v>68</v>
      </c>
      <c r="B7" s="53" t="s">
        <v>79</v>
      </c>
      <c r="C7" s="81">
        <v>15</v>
      </c>
      <c r="D7" s="51"/>
      <c r="E7" t="s">
        <v>64</v>
      </c>
      <c r="F7" s="53" t="s">
        <v>80</v>
      </c>
      <c r="G7" s="47">
        <v>2100</v>
      </c>
      <c r="I7" t="s">
        <v>64</v>
      </c>
      <c r="J7" s="53" t="s">
        <v>81</v>
      </c>
      <c r="K7" s="20">
        <f>$C$7-($C$7-1)</f>
        <v>1</v>
      </c>
      <c r="L7" s="82" t="str">
        <f>IF(표12[[#This Row],[전장류 BD]]="HPI 원형 DOT","BOX TYPE","")</f>
        <v/>
      </c>
      <c r="N7" s="169" t="str">
        <f>WBLX!AE10</f>
        <v>승강로부품</v>
      </c>
      <c r="O7" s="170">
        <f>WBLX!AF10</f>
        <v>712835.60000000009</v>
      </c>
      <c r="Q7" s="310" t="s">
        <v>82</v>
      </c>
      <c r="R7" s="1"/>
    </row>
    <row r="8" spans="1:19">
      <c r="A8" s="15" t="s">
        <v>68</v>
      </c>
      <c r="B8" s="53" t="s">
        <v>83</v>
      </c>
      <c r="C8" s="77">
        <v>60</v>
      </c>
      <c r="D8" s="48"/>
      <c r="E8" t="s">
        <v>64</v>
      </c>
      <c r="F8" s="53" t="s">
        <v>84</v>
      </c>
      <c r="G8" s="20" t="s">
        <v>88</v>
      </c>
      <c r="I8" t="s">
        <v>64</v>
      </c>
      <c r="J8" s="53" t="s">
        <v>85</v>
      </c>
      <c r="K8" s="20">
        <v>1</v>
      </c>
      <c r="N8" s="169" t="str">
        <f>WBLX!AE11</f>
        <v>FLS</v>
      </c>
      <c r="O8" s="170">
        <f>WBLX!AF11</f>
        <v>99740.294500000004</v>
      </c>
      <c r="Q8" s="311">
        <f>SUM(O6:O8)*0.1</f>
        <v>236038.36945000003</v>
      </c>
      <c r="R8" s="41"/>
    </row>
    <row r="9" spans="1:19">
      <c r="A9" s="15" t="s">
        <v>68</v>
      </c>
      <c r="B9" s="53" t="s">
        <v>86</v>
      </c>
      <c r="C9" s="80">
        <v>340</v>
      </c>
      <c r="D9" s="48"/>
      <c r="E9" t="s">
        <v>64</v>
      </c>
      <c r="F9" s="53" t="s">
        <v>87</v>
      </c>
      <c r="G9" s="20" t="s">
        <v>88</v>
      </c>
      <c r="H9" t="str">
        <f>IF($G$9="YES","* 관통형일 경우, 견적 별도 문의바랍니다.","")</f>
        <v/>
      </c>
      <c r="J9" s="53" t="s">
        <v>89</v>
      </c>
      <c r="K9" s="20">
        <f>IF(G8="YES",1,0)</f>
        <v>0</v>
      </c>
      <c r="N9" s="169" t="s">
        <v>90</v>
      </c>
      <c r="O9" s="170">
        <f>WBLX!AF12</f>
        <v>0</v>
      </c>
      <c r="Q9" s="309"/>
      <c r="R9" s="1"/>
    </row>
    <row r="10" spans="1:19">
      <c r="A10" s="50"/>
      <c r="C10" s="49"/>
      <c r="D10" s="49"/>
      <c r="E10" t="s">
        <v>64</v>
      </c>
      <c r="F10" s="53" t="s">
        <v>91</v>
      </c>
      <c r="G10" s="20" t="s">
        <v>88</v>
      </c>
      <c r="J10" s="53" t="s">
        <v>92</v>
      </c>
      <c r="K10" s="20">
        <v>0</v>
      </c>
      <c r="L10" s="89"/>
      <c r="O10" s="40"/>
      <c r="Q10" s="309"/>
      <c r="R10" s="1"/>
    </row>
    <row r="11" spans="1:19">
      <c r="A11" s="15" t="s">
        <v>93</v>
      </c>
      <c r="B11" s="57" t="s">
        <v>94</v>
      </c>
      <c r="C11" s="65">
        <f>IF($G$4="MRL",VLOOKUP($C$8,표18[],2,FALSE),VLOOKUP($C$8,표18_20[],2,FALSE))</f>
        <v>4350</v>
      </c>
      <c r="D11" s="69"/>
      <c r="E11" t="s">
        <v>64</v>
      </c>
      <c r="F11" s="53" t="s">
        <v>95</v>
      </c>
      <c r="G11" s="20" t="s">
        <v>96</v>
      </c>
      <c r="I11" t="s">
        <v>64</v>
      </c>
      <c r="J11" s="53" t="s">
        <v>97</v>
      </c>
      <c r="K11" s="20" t="s">
        <v>98</v>
      </c>
      <c r="M11" s="40" t="s">
        <v>99</v>
      </c>
      <c r="N11" s="169" t="str">
        <f>WBSS!AC6</f>
        <v xml:space="preserve"> 제어반</v>
      </c>
      <c r="O11" s="170">
        <f>WBSS!AD6</f>
        <v>1129369.1160000002</v>
      </c>
      <c r="Q11" s="309"/>
      <c r="R11" s="1"/>
    </row>
    <row r="12" spans="1:19">
      <c r="A12" s="15" t="s">
        <v>93</v>
      </c>
      <c r="B12" s="57" t="s">
        <v>100</v>
      </c>
      <c r="C12" s="55">
        <f>C7*3000</f>
        <v>45000</v>
      </c>
      <c r="D12" s="70"/>
      <c r="E12" t="s">
        <v>64</v>
      </c>
      <c r="F12" s="53" t="s">
        <v>101</v>
      </c>
      <c r="G12" s="20" t="s">
        <v>1869</v>
      </c>
      <c r="H12" s="83" t="str">
        <f>IF(AND($G$4="MR",$G$12="INCREMENTAL"),"",IF(AND($G$4="MR",$G$12="SINCOS"),"",IF(AND($G$4="MRL",$G$12="INCREMENTAL"),"",IF(AND($G$4="MRL",$G$12="SINCOS"),"",IF(AND($G$4="GD",$G$12="INCREMENTAL"),"",IF(AND($G$4="INCREMENTAL",$G$12="INCREMENTAL"),"","◀타입"))))))</f>
        <v/>
      </c>
      <c r="I12" t="s">
        <v>64</v>
      </c>
      <c r="J12" s="53" t="s">
        <v>103</v>
      </c>
      <c r="K12" s="20" t="s">
        <v>98</v>
      </c>
      <c r="M12" s="40"/>
      <c r="N12" s="169" t="str">
        <f>WBSS!AC7</f>
        <v>카탑</v>
      </c>
      <c r="O12" s="170">
        <f>WBSS!AD7</f>
        <v>358061</v>
      </c>
      <c r="Q12" s="309"/>
      <c r="R12" s="1"/>
    </row>
    <row r="13" spans="1:19">
      <c r="A13" s="15" t="s">
        <v>93</v>
      </c>
      <c r="B13" s="57" t="s">
        <v>104</v>
      </c>
      <c r="C13" s="65">
        <f>IF($G$4="MRL",VLOOKUP($C$8,표18[],3,FALSE),VLOOKUP($C$8,표18_20[],3,FALSE))</f>
        <v>1250</v>
      </c>
      <c r="D13" s="69"/>
      <c r="E13" t="s">
        <v>64</v>
      </c>
      <c r="F13" s="53" t="s">
        <v>105</v>
      </c>
      <c r="G13" s="20" t="s">
        <v>106</v>
      </c>
      <c r="I13" t="s">
        <v>64</v>
      </c>
      <c r="J13" s="53" t="s">
        <v>107</v>
      </c>
      <c r="K13" s="321" t="s">
        <v>108</v>
      </c>
      <c r="M13" s="40"/>
      <c r="N13" s="169" t="str">
        <f>WBSS!AC8</f>
        <v>의장보드</v>
      </c>
      <c r="O13" s="170">
        <f>WBSS!AD8</f>
        <v>517867</v>
      </c>
      <c r="Q13" s="309"/>
      <c r="R13" s="1"/>
    </row>
    <row r="14" spans="1:19">
      <c r="A14" s="54" t="s">
        <v>109</v>
      </c>
      <c r="B14" s="57" t="s">
        <v>110</v>
      </c>
      <c r="C14" s="56">
        <f>C11+C12+C13</f>
        <v>50600</v>
      </c>
      <c r="D14" s="71"/>
      <c r="E14" t="s">
        <v>64</v>
      </c>
      <c r="F14" s="53" t="s">
        <v>111</v>
      </c>
      <c r="G14" s="20" t="s">
        <v>1733</v>
      </c>
      <c r="J14" s="53" t="s">
        <v>113</v>
      </c>
      <c r="K14" s="20" t="s">
        <v>98</v>
      </c>
      <c r="M14" s="92"/>
      <c r="N14" s="169" t="str">
        <f>WBSS!AC9</f>
        <v>케이블</v>
      </c>
      <c r="O14" s="170">
        <f>WBSS!AD9</f>
        <v>1563575.2000000002</v>
      </c>
      <c r="Q14" s="309"/>
      <c r="R14" s="1"/>
    </row>
    <row r="15" spans="1:19" ht="18" thickBot="1">
      <c r="A15" s="54"/>
      <c r="B15" s="68"/>
      <c r="C15" s="52"/>
      <c r="D15" s="52"/>
      <c r="I15" s="93"/>
      <c r="J15" s="53" t="s">
        <v>2440</v>
      </c>
      <c r="K15" s="20" t="s">
        <v>98</v>
      </c>
      <c r="M15" s="93"/>
      <c r="N15" s="169" t="str">
        <f>WBSS!AC10</f>
        <v>승강로부품</v>
      </c>
      <c r="O15" s="170">
        <f>WBSS!AD10</f>
        <v>725061</v>
      </c>
      <c r="Q15" s="312">
        <f>SUM(O14:O16)*0.1</f>
        <v>238837.64945000003</v>
      </c>
      <c r="R15" s="41"/>
      <c r="S15" s="40"/>
    </row>
    <row r="16" spans="1:19">
      <c r="A16" s="54" t="s">
        <v>109</v>
      </c>
      <c r="B16" s="57" t="s">
        <v>115</v>
      </c>
      <c r="C16" s="75" t="str">
        <f>IF(AND(C5&lt;=7.5,표20[모터 전류]&lt;=18),"7.5KW",IF(AND(C5&lt;=11,표20[모터 전류]&lt;=25),"11KW",IF(AND(C5&lt;=15,표20[모터 전류]&lt;=34),"15KW",IF(AND(C5&lt;=22,표20[모터 전류]&lt;=51),"22KW",FALSE))))</f>
        <v>7.5KW</v>
      </c>
      <c r="D16" s="53"/>
      <c r="F16" s="90" t="s">
        <v>116</v>
      </c>
      <c r="G16" s="91">
        <f>IF(G4="MRL",WBSS!AB6,IF(G4="MR",WBLX!AD6,WBST!AD6))+원가정보3!I722+VLOOKUP(J20,원가정보3!F723:I730,4,0)</f>
        <v>6465353.8104999997</v>
      </c>
      <c r="J16" s="53" t="s">
        <v>114</v>
      </c>
      <c r="K16" s="20" t="s">
        <v>98</v>
      </c>
      <c r="M16" s="93"/>
      <c r="N16" s="169" t="str">
        <f>WBSS!AC11</f>
        <v>FLS</v>
      </c>
      <c r="O16" s="170">
        <f>WBSS!AD11</f>
        <v>99740.294500000004</v>
      </c>
      <c r="R16" s="40"/>
      <c r="S16" s="40"/>
    </row>
    <row r="17" spans="1:23">
      <c r="D17" s="53"/>
      <c r="J17" s="53" t="s">
        <v>117</v>
      </c>
      <c r="K17" s="20" t="s">
        <v>98</v>
      </c>
      <c r="N17" s="109" t="s">
        <v>90</v>
      </c>
      <c r="O17" s="343">
        <f>WBSS!AD12</f>
        <v>0</v>
      </c>
      <c r="S17" s="40"/>
    </row>
    <row r="18" spans="1:23">
      <c r="A18" s="54" t="s">
        <v>119</v>
      </c>
      <c r="B18" s="320" t="str">
        <f>G4&amp;", "&amp;G6&amp;", "&amp;C16&amp;", "&amp;G5</f>
        <v>MR, 일반형, 7.5KW, GI</v>
      </c>
      <c r="C18" s="53"/>
      <c r="G18" s="233"/>
      <c r="J18" s="53" t="s">
        <v>118</v>
      </c>
      <c r="K18" s="20" t="s">
        <v>98</v>
      </c>
      <c r="S18" s="40"/>
      <c r="V18" s="92"/>
      <c r="W18" s="92"/>
    </row>
    <row r="19" spans="1:23">
      <c r="A19" s="54"/>
      <c r="C19" s="1"/>
      <c r="G19" s="341"/>
      <c r="J19" s="49" t="s">
        <v>120</v>
      </c>
      <c r="M19" s="40" t="s">
        <v>2397</v>
      </c>
      <c r="N19" s="494" t="s">
        <v>151</v>
      </c>
      <c r="O19" s="98">
        <f>WBST!AF6</f>
        <v>633256.9105</v>
      </c>
      <c r="S19" s="40"/>
    </row>
    <row r="20" spans="1:23">
      <c r="G20" s="341"/>
      <c r="I20" s="59"/>
      <c r="J20" s="304" t="s">
        <v>1814</v>
      </c>
      <c r="N20" s="99" t="s">
        <v>153</v>
      </c>
      <c r="O20" s="98">
        <f>WBST!AF7</f>
        <v>358061</v>
      </c>
      <c r="S20" s="40"/>
    </row>
    <row r="21" spans="1:23">
      <c r="G21" s="93"/>
      <c r="I21" s="59"/>
      <c r="N21" s="99" t="s">
        <v>155</v>
      </c>
      <c r="O21" s="98">
        <f>WBST!AF8</f>
        <v>517867</v>
      </c>
      <c r="S21" s="40"/>
    </row>
    <row r="22" spans="1:23">
      <c r="G22" s="40"/>
      <c r="I22" s="59"/>
      <c r="K22" s="58"/>
      <c r="N22" s="99" t="s">
        <v>160</v>
      </c>
      <c r="O22" s="98">
        <f>WBST!AF9</f>
        <v>1561949.4000000001</v>
      </c>
      <c r="S22" s="40"/>
    </row>
    <row r="23" spans="1:23">
      <c r="G23" s="92"/>
      <c r="I23" s="59"/>
      <c r="J23" s="73"/>
      <c r="K23" s="58"/>
      <c r="N23" s="99" t="s">
        <v>165</v>
      </c>
      <c r="O23" s="98">
        <f>WBST!AF10</f>
        <v>657185.5</v>
      </c>
      <c r="S23" s="40"/>
      <c r="U23" s="92"/>
      <c r="V23" s="93"/>
    </row>
    <row r="24" spans="1:23">
      <c r="G24" s="92"/>
      <c r="H24" s="117"/>
      <c r="I24" s="59"/>
      <c r="J24" s="40"/>
      <c r="K24" s="58"/>
      <c r="N24" s="99" t="s">
        <v>170</v>
      </c>
      <c r="O24" s="98">
        <f>WBST!AF11</f>
        <v>99740.294500000004</v>
      </c>
      <c r="S24" s="40"/>
    </row>
    <row r="25" spans="1:23">
      <c r="H25" s="117"/>
      <c r="I25" s="59"/>
      <c r="J25" s="40"/>
      <c r="K25" s="58"/>
      <c r="N25" s="169" t="s">
        <v>90</v>
      </c>
      <c r="O25" s="170">
        <f>WBST!AF12</f>
        <v>0</v>
      </c>
      <c r="S25" s="40"/>
    </row>
    <row r="26" spans="1:23">
      <c r="H26" s="117"/>
      <c r="J26" s="40"/>
      <c r="K26" s="58"/>
      <c r="S26" s="40"/>
    </row>
    <row r="27" spans="1:23">
      <c r="H27" s="117"/>
      <c r="J27" s="58"/>
      <c r="K27" s="58"/>
      <c r="S27" s="40"/>
    </row>
    <row r="28" spans="1:23">
      <c r="H28" s="117"/>
      <c r="I28" s="59"/>
      <c r="J28" s="58"/>
      <c r="S28" s="40"/>
      <c r="V28" s="92"/>
      <c r="W28" s="93"/>
    </row>
    <row r="29" spans="1:23">
      <c r="H29" s="117"/>
      <c r="I29" s="59"/>
      <c r="J29" s="58"/>
      <c r="S29" s="40"/>
    </row>
    <row r="30" spans="1:23">
      <c r="I30" s="59"/>
      <c r="J30" s="58"/>
      <c r="K30" s="60"/>
      <c r="S30" s="40"/>
    </row>
    <row r="31" spans="1:23">
      <c r="H31" s="117"/>
      <c r="I31" s="59"/>
      <c r="K31" s="60"/>
      <c r="S31" s="40"/>
    </row>
    <row r="32" spans="1:23">
      <c r="F32" s="40"/>
      <c r="G32" s="40"/>
      <c r="H32" s="117"/>
      <c r="I32" s="59"/>
      <c r="K32" s="60"/>
      <c r="S32" s="40"/>
    </row>
    <row r="33" spans="6:23">
      <c r="F33" s="40"/>
      <c r="G33" s="40"/>
      <c r="H33" s="117"/>
      <c r="K33" s="60"/>
      <c r="S33" s="40"/>
      <c r="V33" s="92"/>
      <c r="W33" s="93"/>
    </row>
    <row r="34" spans="6:23">
      <c r="F34" s="40"/>
      <c r="G34" s="40"/>
      <c r="H34" s="117"/>
      <c r="K34" s="60"/>
    </row>
    <row r="35" spans="6:23">
      <c r="G35" s="40"/>
      <c r="H35" s="117"/>
    </row>
    <row r="36" spans="6:23">
      <c r="G36" s="40"/>
      <c r="H36" s="117"/>
    </row>
    <row r="37" spans="6:23">
      <c r="G37" s="40"/>
      <c r="H37" s="117"/>
      <c r="J37" s="60"/>
    </row>
    <row r="38" spans="6:23">
      <c r="G38" s="40"/>
      <c r="H38" s="117"/>
      <c r="J38" s="60"/>
    </row>
    <row r="39" spans="6:23">
      <c r="G39" s="40"/>
      <c r="J39" s="60"/>
    </row>
  </sheetData>
  <phoneticPr fontId="1" type="noConversion"/>
  <pageMargins left="0.7" right="0.7" top="0.75" bottom="0.75" header="0.3" footer="0.3"/>
  <pageSetup paperSize="9" scale="78" fitToHeight="0" orientation="landscape"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5">
        <x14:dataValidation type="list" errorStyle="warning" allowBlank="1" showInputMessage="1" showErrorMessage="1" errorTitle="재질 변경" error="재질 변경 필요" xr:uid="{3ED39428-576B-43D2-ABFA-210178F7E56E}">
          <x14:formula1>
            <xm:f>'DROP DOWN 지정'!$J$3:$J$6</xm:f>
          </x14:formula1>
          <xm:sqref>G5</xm:sqref>
        </x14:dataValidation>
        <x14:dataValidation type="list" allowBlank="1" showInputMessage="1" showErrorMessage="1" xr:uid="{63626230-17C0-4DB0-A2B3-C3D489AAD1C0}">
          <x14:formula1>
            <xm:f>'DROP DOWN 지정'!$B$3:$B$31</xm:f>
          </x14:formula1>
          <xm:sqref>D4 C7</xm:sqref>
        </x14:dataValidation>
        <x14:dataValidation type="list" allowBlank="1" showInputMessage="1" showErrorMessage="1" xr:uid="{D72F9971-9F02-43AC-B93D-B8BB9EBAFE56}">
          <x14:formula1>
            <xm:f>'DROP DOWN 지정'!$F$3:$F$17</xm:f>
          </x14:formula1>
          <xm:sqref>D6</xm:sqref>
        </x14:dataValidation>
        <x14:dataValidation type="list" allowBlank="1" showInputMessage="1" showErrorMessage="1" xr:uid="{CAB5CEFC-811A-40F4-914C-25CBA254559B}">
          <x14:formula1>
            <xm:f>'DROP DOWN 지정'!$H$3:$H$5</xm:f>
          </x14:formula1>
          <xm:sqref>G4</xm:sqref>
        </x14:dataValidation>
        <x14:dataValidation type="list" allowBlank="1" showInputMessage="1" showErrorMessage="1" xr:uid="{039DC0DA-73CE-4925-B46F-33B5FE809CFD}">
          <x14:formula1>
            <xm:f>'DROP DOWN 지정'!$N$3:$N$4</xm:f>
          </x14:formula1>
          <xm:sqref>G6</xm:sqref>
        </x14:dataValidation>
        <x14:dataValidation type="list" allowBlank="1" showInputMessage="1" showErrorMessage="1" xr:uid="{3EDCD507-89BD-4A15-B748-3A4903349248}">
          <x14:formula1>
            <xm:f>'DROP DOWN 지정'!$P$3:$P$5</xm:f>
          </x14:formula1>
          <xm:sqref>G7</xm:sqref>
        </x14:dataValidation>
        <x14:dataValidation type="list" allowBlank="1" showInputMessage="1" showErrorMessage="1" xr:uid="{C8B8B53E-E1FD-4E18-96A1-2892FB494B61}">
          <x14:formula1>
            <xm:f>'DROP DOWN 지정'!$R$3:$R$4</xm:f>
          </x14:formula1>
          <xm:sqref>G9</xm:sqref>
        </x14:dataValidation>
        <x14:dataValidation type="list" allowBlank="1" showInputMessage="1" showErrorMessage="1" xr:uid="{FE9E5547-5BD9-4223-9838-A2F46C79E744}">
          <x14:formula1>
            <xm:f>'DROP DOWN 지정'!$T$3:$T$4</xm:f>
          </x14:formula1>
          <xm:sqref>G8</xm:sqref>
        </x14:dataValidation>
        <x14:dataValidation type="list" allowBlank="1" showInputMessage="1" showErrorMessage="1" xr:uid="{B59EE04B-A761-4845-BAB5-DAB1C4C4CEE5}">
          <x14:formula1>
            <xm:f>'DROP DOWN 지정'!$V$3:$V$5</xm:f>
          </x14:formula1>
          <xm:sqref>G10</xm:sqref>
        </x14:dataValidation>
        <x14:dataValidation type="list" allowBlank="1" showInputMessage="1" showErrorMessage="1" xr:uid="{4CA3BFCA-D022-4A1F-9012-2442D704A58A}">
          <x14:formula1>
            <xm:f>'DROP DOWN 지정'!$X$3:$X$4</xm:f>
          </x14:formula1>
          <xm:sqref>G11</xm:sqref>
        </x14:dataValidation>
        <x14:dataValidation type="list" allowBlank="1" showInputMessage="1" showErrorMessage="1" xr:uid="{958FD75E-0DF0-49BC-A691-8F6E080D066B}">
          <x14:formula1>
            <xm:f>'DROP DOWN 지정'!$N$9:$N$10</xm:f>
          </x14:formula1>
          <xm:sqref>G12</xm:sqref>
        </x14:dataValidation>
        <x14:dataValidation type="list" allowBlank="1" showInputMessage="1" showErrorMessage="1" xr:uid="{E913AD0A-C79F-4CA0-AE1B-8AFA710BC5F3}">
          <x14:formula1>
            <xm:f>'DROP DOWN 지정'!$N$17:$N$18</xm:f>
          </x14:formula1>
          <xm:sqref>G13</xm:sqref>
        </x14:dataValidation>
        <x14:dataValidation type="list" allowBlank="1" showInputMessage="1" showErrorMessage="1" xr:uid="{0E0FC131-EDA1-40FF-9B31-3A5DA12A93F5}">
          <x14:formula1>
            <xm:f>'DROP DOWN 지정'!$D$3:$D$17</xm:f>
          </x14:formula1>
          <xm:sqref>D5</xm:sqref>
        </x14:dataValidation>
        <x14:dataValidation type="list" allowBlank="1" showInputMessage="1" showErrorMessage="1" xr:uid="{D02DDA27-A139-4BBC-8446-F2838C4C3A14}">
          <x14:formula1>
            <xm:f>'DROP DOWN 지정'!$D$3:$D$7</xm:f>
          </x14:formula1>
          <xm:sqref>C8</xm:sqref>
        </x14:dataValidation>
        <x14:dataValidation type="list" allowBlank="1" showInputMessage="1" showErrorMessage="1" xr:uid="{6A6AECE4-2ED8-4D85-9C6E-4F38785A8C3F}">
          <x14:formula1>
            <xm:f>'DROP DOWN 지정'!$V$12:$V$14</xm:f>
          </x14:formula1>
          <xm:sqref>J5</xm:sqref>
        </x14:dataValidation>
        <x14:dataValidation type="list" allowBlank="1" showInputMessage="1" showErrorMessage="1" xr:uid="{66D77995-4D1F-44C7-9C7F-630B4F396752}">
          <x14:formula1>
            <xm:f>'DROP DOWN 지정'!$X$12:$X$14</xm:f>
          </x14:formula1>
          <xm:sqref>J7</xm:sqref>
        </x14:dataValidation>
        <x14:dataValidation type="list" allowBlank="1" showInputMessage="1" showErrorMessage="1" xr:uid="{53B55277-DF75-4B03-BE83-F9FC9C696219}">
          <x14:formula1>
            <xm:f>'DROP DOWN 지정'!$V$19:$V$22</xm:f>
          </x14:formula1>
          <xm:sqref>J4</xm:sqref>
        </x14:dataValidation>
        <x14:dataValidation type="list" allowBlank="1" showInputMessage="1" showErrorMessage="1" xr:uid="{AE2C330B-AF8E-47BE-B366-20C5E681AF04}">
          <x14:formula1>
            <xm:f>'DROP DOWN 지정'!$X$19:$X$21</xm:f>
          </x14:formula1>
          <xm:sqref>J8</xm:sqref>
        </x14:dataValidation>
        <x14:dataValidation type="list" allowBlank="1" showInputMessage="1" showErrorMessage="1" xr:uid="{AD8EF235-C6E8-46CF-AFE1-B25F5E9FFEB4}">
          <x14:formula1>
            <xm:f>'DROP DOWN 지정'!$Z$3:$Z$10</xm:f>
          </x14:formula1>
          <xm:sqref>J20</xm:sqref>
        </x14:dataValidation>
        <x14:dataValidation type="list" allowBlank="1" showInputMessage="1" showErrorMessage="1" xr:uid="{455ACF24-B43C-4310-A44A-CA1E9F96600A}">
          <x14:formula1>
            <xm:f>'DROP DOWN 지정'!$AB$3:$AB$4</xm:f>
          </x14:formula1>
          <xm:sqref>K11</xm:sqref>
        </x14:dataValidation>
        <x14:dataValidation type="list" allowBlank="1" showInputMessage="1" showErrorMessage="1" xr:uid="{EE504FFA-4C1A-4669-B573-B2786DB4E610}">
          <x14:formula1>
            <xm:f>'DROP DOWN 지정'!$AD$3:$AD$4</xm:f>
          </x14:formula1>
          <xm:sqref>K12 K16:K18</xm:sqref>
        </x14:dataValidation>
        <x14:dataValidation type="list" allowBlank="1" showInputMessage="1" showErrorMessage="1" xr:uid="{7F11569F-CAAA-4142-B899-D8EF7B29B128}">
          <x14:formula1>
            <xm:f>'DROP DOWN 지정'!$AF$3:$AF$5</xm:f>
          </x14:formula1>
          <xm:sqref>K13</xm:sqref>
        </x14:dataValidation>
        <x14:dataValidation type="list" allowBlank="1" showInputMessage="1" showErrorMessage="1" xr:uid="{88C41B5C-2104-4836-9013-124D2D2175BB}">
          <x14:formula1>
            <xm:f>'DROP DOWN 지정'!$AH$3:$AH$7</xm:f>
          </x14:formula1>
          <xm:sqref>K14</xm:sqref>
        </x14:dataValidation>
        <x14:dataValidation type="list" allowBlank="1" showInputMessage="1" showErrorMessage="1" xr:uid="{EEDDF86F-ED14-4FD1-AF9D-29250C22EB22}">
          <x14:formula1>
            <xm:f>'DROP DOWN 지정'!$L$9:$L$12</xm:f>
          </x14:formula1>
          <xm:sqref>G14</xm:sqref>
        </x14:dataValidation>
        <x14:dataValidation type="list" allowBlank="1" showInputMessage="1" showErrorMessage="1" xr:uid="{C1D98D9E-F0DF-4691-9D34-8F7DBAE92D90}">
          <x14:formula1>
            <xm:f>'DROP DOWN 지정'!$AJ$3:$AJ$4</xm:f>
          </x14:formula1>
          <xm:sqref>K15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C384-D062-437D-B28A-70D7227A8921}">
  <sheetPr codeName="Sheet3">
    <tabColor rgb="FF00B050"/>
  </sheetPr>
  <dimension ref="A2:AF104"/>
  <sheetViews>
    <sheetView zoomScale="70" zoomScaleNormal="70" workbookViewId="0"/>
  </sheetViews>
  <sheetFormatPr defaultColWidth="8.8984375" defaultRowHeight="17.399999999999999" outlineLevelRow="1"/>
  <cols>
    <col min="1" max="1" width="3.5" bestFit="1" customWidth="1"/>
    <col min="2" max="2" width="5.09765625" bestFit="1" customWidth="1"/>
    <col min="3" max="3" width="5.59765625" bestFit="1" customWidth="1"/>
    <col min="4" max="4" width="19" customWidth="1"/>
    <col min="5" max="5" width="5.5" bestFit="1" customWidth="1"/>
    <col min="6" max="6" width="5.09765625" bestFit="1" customWidth="1"/>
    <col min="7" max="7" width="45.5" bestFit="1" customWidth="1"/>
    <col min="8" max="8" width="17.59765625" customWidth="1"/>
    <col min="9" max="9" width="5.09765625" bestFit="1" customWidth="1"/>
    <col min="12" max="12" width="10.5" bestFit="1" customWidth="1"/>
    <col min="13" max="14" width="5.09765625" bestFit="1" customWidth="1"/>
    <col min="15" max="15" width="8.8984375" bestFit="1" customWidth="1"/>
    <col min="17" max="17" width="54.3984375" customWidth="1"/>
    <col min="18" max="18" width="11.8984375" customWidth="1"/>
    <col min="20" max="20" width="52.59765625" bestFit="1" customWidth="1"/>
    <col min="21" max="21" width="31.09765625" bestFit="1" customWidth="1"/>
    <col min="24" max="24" width="11.59765625" bestFit="1" customWidth="1"/>
    <col min="25" max="25" width="19.09765625" bestFit="1" customWidth="1"/>
    <col min="26" max="26" width="21.09765625" bestFit="1" customWidth="1"/>
    <col min="28" max="28" width="11.59765625" bestFit="1" customWidth="1"/>
    <col min="29" max="29" width="11.8984375" style="40" bestFit="1" customWidth="1"/>
    <col min="30" max="30" width="14.19921875" customWidth="1"/>
    <col min="31" max="31" width="11" bestFit="1" customWidth="1"/>
    <col min="32" max="32" width="11.59765625" bestFit="1" customWidth="1"/>
  </cols>
  <sheetData>
    <row r="2" spans="1:32" ht="30">
      <c r="B2" s="61" t="s">
        <v>544</v>
      </c>
      <c r="C2" s="62"/>
    </row>
    <row r="3" spans="1:32">
      <c r="D3" s="2" t="s">
        <v>545</v>
      </c>
    </row>
    <row r="4" spans="1:32">
      <c r="D4" s="113"/>
    </row>
    <row r="5" spans="1:32" s="4" customFormat="1">
      <c r="A5" s="97" t="s">
        <v>88</v>
      </c>
      <c r="B5" s="97" t="s">
        <v>123</v>
      </c>
      <c r="C5" s="97" t="s">
        <v>124</v>
      </c>
      <c r="D5" s="97" t="s">
        <v>125</v>
      </c>
      <c r="E5" s="97" t="s">
        <v>126</v>
      </c>
      <c r="F5" s="97" t="s">
        <v>127</v>
      </c>
      <c r="G5" s="97" t="s">
        <v>128</v>
      </c>
      <c r="H5" s="97" t="s">
        <v>129</v>
      </c>
      <c r="I5" s="97" t="s">
        <v>130</v>
      </c>
      <c r="J5" s="97" t="s">
        <v>131</v>
      </c>
      <c r="K5" s="97" t="s">
        <v>132</v>
      </c>
      <c r="L5" s="97" t="s">
        <v>133</v>
      </c>
      <c r="M5" s="97" t="s">
        <v>134</v>
      </c>
      <c r="N5" s="97" t="s">
        <v>135</v>
      </c>
      <c r="O5" s="97" t="s">
        <v>136</v>
      </c>
      <c r="P5" s="97" t="s">
        <v>137</v>
      </c>
      <c r="Q5" s="97" t="s">
        <v>138</v>
      </c>
      <c r="R5" s="97" t="s">
        <v>139</v>
      </c>
      <c r="S5" s="97" t="s">
        <v>140</v>
      </c>
      <c r="T5" s="97" t="s">
        <v>141</v>
      </c>
      <c r="U5" s="97" t="s">
        <v>142</v>
      </c>
      <c r="V5" s="97" t="s">
        <v>143</v>
      </c>
      <c r="W5" s="97" t="s">
        <v>19</v>
      </c>
      <c r="X5" s="97" t="s">
        <v>144</v>
      </c>
      <c r="Y5" s="97" t="s">
        <v>546</v>
      </c>
      <c r="Z5" s="97" t="s">
        <v>547</v>
      </c>
      <c r="AA5" s="178" t="s">
        <v>145</v>
      </c>
      <c r="AB5" s="98" t="s">
        <v>146</v>
      </c>
      <c r="AC5" s="98" t="s">
        <v>147</v>
      </c>
      <c r="AD5" s="96" t="s">
        <v>148</v>
      </c>
      <c r="AE5" s="94"/>
    </row>
    <row r="6" spans="1:32" s="4" customFormat="1">
      <c r="A6" s="121"/>
      <c r="B6" s="121"/>
      <c r="C6" s="127">
        <v>1</v>
      </c>
      <c r="D6" s="122" t="str">
        <f>IF('사양 입력'!$G$4="MR",VLOOKUP('사양 입력'!$G$4&amp;'사양 입력'!$G$5&amp;'사양 입력'!$G$6&amp;'사양 입력'!$C$16&amp;'사양 입력'!$G$12,'CP ASSY'!$U$12:$V$251,2,FALSE),"ERROR")</f>
        <v>20411101G0100</v>
      </c>
      <c r="E6" s="121"/>
      <c r="F6" s="121"/>
      <c r="G6" s="122" t="s">
        <v>149</v>
      </c>
      <c r="H6" s="124" t="str">
        <f>LEFT(D6,11)</f>
        <v>20411101G01</v>
      </c>
      <c r="I6" s="121"/>
      <c r="J6" s="121"/>
      <c r="K6" s="121"/>
      <c r="L6" s="121"/>
      <c r="M6" s="121"/>
      <c r="N6" s="121"/>
      <c r="O6" s="122">
        <f>IF(D6="ERROR","N/A",1)</f>
        <v>1</v>
      </c>
      <c r="P6" s="121"/>
      <c r="Q6" s="122" t="str">
        <f>VLOOKUP(D6,'CP ASSY'!$D$12:$L$251,9,0)</f>
        <v xml:space="preserve">일반, 7.5KW, SINCOS, GI, , </v>
      </c>
      <c r="R6" s="121"/>
      <c r="S6" s="121"/>
      <c r="T6" s="121"/>
      <c r="U6" s="121"/>
      <c r="V6" s="121"/>
      <c r="W6" s="121"/>
      <c r="X6" s="121" t="s">
        <v>150</v>
      </c>
      <c r="Y6" s="121"/>
      <c r="Z6" s="121"/>
      <c r="AA6" s="179"/>
      <c r="AB6" s="125">
        <f>VLOOKUP(D6,원가정보3!$E$5:$I$1048576,5,0)</f>
        <v>167383.70000000001</v>
      </c>
      <c r="AC6" s="125">
        <f>AB6*O6</f>
        <v>167383.70000000001</v>
      </c>
      <c r="AD6" s="112">
        <f>SUMIF(AC6:AC110,"&lt;&gt;#n/a")</f>
        <v>6171003.8104999997</v>
      </c>
      <c r="AE6" s="120" t="s">
        <v>151</v>
      </c>
      <c r="AF6" s="112">
        <f>SUMIF(AC6:AC24,"&lt;&gt;#n/a")</f>
        <v>2934692.1159999999</v>
      </c>
    </row>
    <row r="7" spans="1:32" s="88" customFormat="1">
      <c r="A7" s="121"/>
      <c r="B7" s="121"/>
      <c r="C7" s="127"/>
      <c r="D7" s="122" t="str">
        <f>VLOOKUP($D$6,'CP ASSY'!$V$12:$AA$251,6,FALSE)&amp;"00"</f>
        <v>20411102G0100</v>
      </c>
      <c r="E7" s="121"/>
      <c r="F7" s="121"/>
      <c r="G7" s="121" t="s">
        <v>152</v>
      </c>
      <c r="H7" s="124" t="str">
        <f t="shared" ref="H7:H14" si="0">LEFT(D7,11)</f>
        <v>20411102G01</v>
      </c>
      <c r="I7" s="121"/>
      <c r="J7" s="121"/>
      <c r="K7" s="121"/>
      <c r="L7" s="121"/>
      <c r="M7" s="121"/>
      <c r="N7" s="121"/>
      <c r="O7" s="122">
        <f>IF('사양 입력'!G4="MR",1,"ERROR")</f>
        <v>1</v>
      </c>
      <c r="P7" s="121"/>
      <c r="Q7" s="122"/>
      <c r="R7" s="121"/>
      <c r="S7" s="121"/>
      <c r="T7" s="121"/>
      <c r="U7" s="121"/>
      <c r="V7" s="121"/>
      <c r="W7" s="121"/>
      <c r="X7" s="121" t="s">
        <v>150</v>
      </c>
      <c r="Y7" s="121"/>
      <c r="Z7" s="121"/>
      <c r="AA7" s="179"/>
      <c r="AB7" s="125">
        <f>VLOOKUP(D7,원가정보3!$E$5:$I$1048576,5,0)</f>
        <v>1425100</v>
      </c>
      <c r="AC7" s="125">
        <f t="shared" ref="AC7:AC77" si="1">AB7*O7</f>
        <v>1425100</v>
      </c>
      <c r="AD7" s="96"/>
      <c r="AE7" s="4" t="s">
        <v>153</v>
      </c>
      <c r="AF7" s="95">
        <f>AC62</f>
        <v>358061</v>
      </c>
    </row>
    <row r="8" spans="1:32" s="86" customFormat="1">
      <c r="A8" s="121"/>
      <c r="B8" s="121"/>
      <c r="C8" s="127"/>
      <c r="D8" s="121" t="s">
        <v>156</v>
      </c>
      <c r="E8" s="121"/>
      <c r="F8" s="121"/>
      <c r="G8" s="121" t="s">
        <v>157</v>
      </c>
      <c r="H8" s="121" t="s">
        <v>158</v>
      </c>
      <c r="I8" s="121"/>
      <c r="J8" s="121"/>
      <c r="K8" s="121"/>
      <c r="L8" s="121"/>
      <c r="M8" s="121"/>
      <c r="N8" s="121"/>
      <c r="O8" s="126">
        <v>1</v>
      </c>
      <c r="P8" s="121"/>
      <c r="Q8" s="122"/>
      <c r="R8" s="121"/>
      <c r="S8" s="121"/>
      <c r="T8" s="121"/>
      <c r="U8" s="121"/>
      <c r="V8" s="121"/>
      <c r="W8" s="121"/>
      <c r="X8" s="121" t="s">
        <v>150</v>
      </c>
      <c r="Y8" s="121"/>
      <c r="Z8" s="121"/>
      <c r="AA8" s="179"/>
      <c r="AB8" s="125">
        <f>VLOOKUP(D8,원가정보3!$E$5:$I$1048576,5,0)</f>
        <v>56393</v>
      </c>
      <c r="AC8" s="125">
        <f t="shared" si="1"/>
        <v>56393</v>
      </c>
      <c r="AD8" s="96"/>
      <c r="AE8" s="4" t="s">
        <v>155</v>
      </c>
      <c r="AF8" s="95">
        <f>SUM(AC71:AC84)</f>
        <v>517867</v>
      </c>
    </row>
    <row r="9" spans="1:32" s="86" customFormat="1">
      <c r="A9" s="121"/>
      <c r="B9" s="121"/>
      <c r="C9" s="127"/>
      <c r="D9" s="121" t="s">
        <v>161</v>
      </c>
      <c r="E9" s="121"/>
      <c r="F9" s="121"/>
      <c r="G9" s="121" t="s">
        <v>162</v>
      </c>
      <c r="H9" s="121" t="s">
        <v>163</v>
      </c>
      <c r="I9" s="121"/>
      <c r="J9" s="121"/>
      <c r="K9" s="121"/>
      <c r="L9" s="121"/>
      <c r="M9" s="121"/>
      <c r="N9" s="121"/>
      <c r="O9" s="126">
        <v>1</v>
      </c>
      <c r="P9" s="121"/>
      <c r="Q9" s="122"/>
      <c r="R9" s="121"/>
      <c r="S9" s="121"/>
      <c r="T9" s="121"/>
      <c r="U9" s="121"/>
      <c r="V9" s="121"/>
      <c r="W9" s="121"/>
      <c r="X9" s="121" t="s">
        <v>150</v>
      </c>
      <c r="Y9" s="121"/>
      <c r="Z9" s="121"/>
      <c r="AA9" s="179"/>
      <c r="AB9" s="125">
        <f>VLOOKUP(D9,원가정보3!$E$5:$I$1048576,5,0)</f>
        <v>30754</v>
      </c>
      <c r="AC9" s="125">
        <f t="shared" si="1"/>
        <v>30754</v>
      </c>
      <c r="AD9" s="96"/>
      <c r="AE9" s="4" t="s">
        <v>160</v>
      </c>
      <c r="AF9" s="94">
        <f>SUM(AC29:AC51)</f>
        <v>1547807.8000000003</v>
      </c>
    </row>
    <row r="10" spans="1:32" s="86" customFormat="1">
      <c r="A10" s="121"/>
      <c r="B10" s="121"/>
      <c r="C10" s="127"/>
      <c r="D10" s="121" t="s">
        <v>166</v>
      </c>
      <c r="E10" s="121"/>
      <c r="F10" s="121"/>
      <c r="G10" s="121" t="s">
        <v>548</v>
      </c>
      <c r="H10" s="121" t="s">
        <v>168</v>
      </c>
      <c r="I10" s="121"/>
      <c r="J10" s="121"/>
      <c r="K10" s="121"/>
      <c r="L10" s="121"/>
      <c r="M10" s="121"/>
      <c r="N10" s="121"/>
      <c r="O10" s="126">
        <v>1</v>
      </c>
      <c r="P10" s="121"/>
      <c r="Q10" s="122"/>
      <c r="R10" s="121"/>
      <c r="S10" s="121"/>
      <c r="T10" s="121"/>
      <c r="U10" s="121"/>
      <c r="V10" s="121"/>
      <c r="W10" s="121"/>
      <c r="X10" s="121" t="s">
        <v>150</v>
      </c>
      <c r="Y10" s="121"/>
      <c r="Z10" s="121"/>
      <c r="AA10" s="179"/>
      <c r="AB10" s="125">
        <f>VLOOKUP(D10,원가정보3!$E$5:$I$1048576,5,0)</f>
        <v>98455</v>
      </c>
      <c r="AC10" s="125">
        <f t="shared" si="1"/>
        <v>98455</v>
      </c>
      <c r="AD10" s="96"/>
      <c r="AE10" s="4" t="s">
        <v>165</v>
      </c>
      <c r="AF10" s="95">
        <f>SUM(AC26:AC28)+SUM(AC52:AC61)+SUM(AC63:AC70)</f>
        <v>712835.60000000009</v>
      </c>
    </row>
    <row r="11" spans="1:32" s="4" customFormat="1">
      <c r="A11" s="121"/>
      <c r="B11" s="121"/>
      <c r="C11" s="127"/>
      <c r="D11" s="126" t="s">
        <v>171</v>
      </c>
      <c r="E11" s="121"/>
      <c r="F11" s="121"/>
      <c r="G11" s="121" t="s">
        <v>172</v>
      </c>
      <c r="H11" s="124"/>
      <c r="I11" s="121"/>
      <c r="J11" s="121"/>
      <c r="K11" s="121"/>
      <c r="L11" s="121" t="s">
        <v>173</v>
      </c>
      <c r="M11" s="121"/>
      <c r="N11" s="121"/>
      <c r="O11" s="122">
        <f>IF('사양 입력'!$G$10="2 CAR",1,0)</f>
        <v>0</v>
      </c>
      <c r="P11" s="121"/>
      <c r="Q11" s="126" t="s">
        <v>174</v>
      </c>
      <c r="R11" s="121"/>
      <c r="S11" s="121"/>
      <c r="T11" s="121"/>
      <c r="U11" s="121"/>
      <c r="V11" s="121"/>
      <c r="W11" s="121"/>
      <c r="X11" s="121" t="s">
        <v>150</v>
      </c>
      <c r="Y11" s="121"/>
      <c r="Z11" s="121"/>
      <c r="AA11" s="179"/>
      <c r="AB11" s="125">
        <f>VLOOKUP(D11,원가정보3!$E$5:$I$1048576,5,0)</f>
        <v>18270</v>
      </c>
      <c r="AC11" s="125">
        <f t="shared" si="1"/>
        <v>0</v>
      </c>
      <c r="AD11" s="96"/>
      <c r="AE11" s="4" t="s">
        <v>170</v>
      </c>
      <c r="AF11" s="95">
        <f>AC25</f>
        <v>99740.294500000004</v>
      </c>
    </row>
    <row r="12" spans="1:32" s="4" customFormat="1">
      <c r="A12" s="121"/>
      <c r="B12" s="121"/>
      <c r="C12" s="121">
        <v>2</v>
      </c>
      <c r="D12" s="128" t="str">
        <f>IF($S$12=20,"HX062002H0900",IF($S$12=30,"HX062002H1000",IF($S$12=40,"HX062002H1100",IF($S$12=50,"HX062002H1200",IF($S$12=60,"HX062002H1300",IF($S$12=75,"HX062002H1400",FALSE))))))</f>
        <v>HX062002H1000</v>
      </c>
      <c r="E12" s="121"/>
      <c r="F12" s="121"/>
      <c r="G12" s="121" t="s">
        <v>175</v>
      </c>
      <c r="H12" s="124" t="str">
        <f t="shared" si="0"/>
        <v>HX062002H10</v>
      </c>
      <c r="I12" s="121"/>
      <c r="J12" s="121"/>
      <c r="K12" s="121"/>
      <c r="L12" s="121"/>
      <c r="M12" s="121"/>
      <c r="N12" s="121"/>
      <c r="O12" s="126">
        <v>1</v>
      </c>
      <c r="P12" s="121"/>
      <c r="Q12" s="122"/>
      <c r="R12" s="121" t="s">
        <v>549</v>
      </c>
      <c r="S12" s="121">
        <f>'DROP DOWN 지정'!$AG$11</f>
        <v>30</v>
      </c>
      <c r="T12" s="121"/>
      <c r="U12" s="121"/>
      <c r="V12" s="121"/>
      <c r="W12" s="121"/>
      <c r="X12" s="121" t="s">
        <v>150</v>
      </c>
      <c r="Y12" s="121"/>
      <c r="Z12" s="121"/>
      <c r="AA12" s="179"/>
      <c r="AB12" s="125">
        <f>VLOOKUP(D12,원가정보3!$E$5:$I$1048576,5,0)</f>
        <v>34510</v>
      </c>
      <c r="AC12" s="125">
        <f t="shared" si="1"/>
        <v>34510</v>
      </c>
      <c r="AD12" s="96"/>
      <c r="AE12" s="4" t="s">
        <v>90</v>
      </c>
      <c r="AF12" s="95">
        <f>SUM(AC99:AC104)</f>
        <v>0</v>
      </c>
    </row>
    <row r="13" spans="1:32" s="4" customFormat="1">
      <c r="A13" s="121"/>
      <c r="B13" s="121"/>
      <c r="C13" s="121">
        <v>2</v>
      </c>
      <c r="D13" s="122" t="str">
        <f>IF('사양 입력'!$C$5&lt;=11.3,"20410089G0600",IF(AND('사양 입력'!$C$5&gt;11.3,'사양 입력'!$C$5&lt;13),"20410089G0700",IF(AND('사양 입력'!$C$5&gt;=13.1,'사양 입력'!$C$5&lt;=14.1),"20410089G1000",IF(AND('사양 입력'!$C$5&gt;=14.2,'사양 입력'!$C$5&lt;=21),"20410089G0100",IF(AND('사양 입력'!$C$5&gt;=21.1,'사양 입력'!$C$5&lt;=26.5),"20410089G0800",IF(AND('사양 입력'!$C$5&gt;=26.6,'사양 입력'!$C$5&lt;=33),"20410089G0400","용량오류"))))))</f>
        <v>20410089G0600</v>
      </c>
      <c r="E13" s="121"/>
      <c r="F13" s="121"/>
      <c r="G13" s="121" t="s">
        <v>176</v>
      </c>
      <c r="H13" s="124" t="str">
        <f t="shared" si="0"/>
        <v>20410089G06</v>
      </c>
      <c r="I13" s="121"/>
      <c r="J13" s="121"/>
      <c r="K13" s="121"/>
      <c r="L13" s="121"/>
      <c r="M13" s="121"/>
      <c r="N13" s="121"/>
      <c r="O13" s="126">
        <v>2</v>
      </c>
      <c r="P13" s="121"/>
      <c r="Q13" s="122"/>
      <c r="R13" s="121"/>
      <c r="S13" s="121"/>
      <c r="T13" s="121"/>
      <c r="U13" s="121"/>
      <c r="V13" s="121"/>
      <c r="W13" s="121"/>
      <c r="X13" s="121" t="s">
        <v>150</v>
      </c>
      <c r="Y13" s="121"/>
      <c r="Z13" s="121"/>
      <c r="AA13" s="179"/>
      <c r="AB13" s="125">
        <f>VLOOKUP(D13,원가정보3!$E$5:$I$1048576,5,0)</f>
        <v>7612</v>
      </c>
      <c r="AC13" s="125">
        <f t="shared" si="1"/>
        <v>15224</v>
      </c>
      <c r="AD13" s="96"/>
    </row>
    <row r="14" spans="1:32" s="4" customFormat="1">
      <c r="A14" s="121"/>
      <c r="B14" s="121"/>
      <c r="C14" s="121">
        <v>2</v>
      </c>
      <c r="D14" s="122" t="str">
        <f>IF(AND('사양 입력'!$G$9="NO",'사양 입력'!$G$13="AC 220V"),"20401315G0200",IF(AND('사양 입력'!$G$9="NO",'사양 입력'!$G$13="AC 110V"),"20401315G1400",IF(AND('사양 입력'!$G$9="YES",'사양 입력'!$G$13="AC 220V"),"20401315G0300",IF(AND('사양 입력'!$G$9="YES",'사양 입력'!$G$13="AC 110V"),"20401315G1500",FALSE))))</f>
        <v>20401315G0200</v>
      </c>
      <c r="E14" s="121"/>
      <c r="F14" s="121"/>
      <c r="G14" s="121" t="s">
        <v>177</v>
      </c>
      <c r="H14" s="124" t="str">
        <f t="shared" si="0"/>
        <v>20401315G02</v>
      </c>
      <c r="I14" s="121"/>
      <c r="J14" s="121"/>
      <c r="K14" s="121"/>
      <c r="L14" s="121"/>
      <c r="M14" s="121"/>
      <c r="N14" s="121"/>
      <c r="O14" s="126">
        <v>1</v>
      </c>
      <c r="P14" s="121"/>
      <c r="Q14" s="122"/>
      <c r="R14" s="121"/>
      <c r="S14" s="121"/>
      <c r="T14" s="121"/>
      <c r="U14" s="121"/>
      <c r="V14" s="121"/>
      <c r="W14" s="121"/>
      <c r="X14" s="121" t="s">
        <v>150</v>
      </c>
      <c r="Y14" s="121"/>
      <c r="Z14" s="121"/>
      <c r="AA14" s="179"/>
      <c r="AB14" s="125">
        <f>VLOOKUP(D14,원가정보3!$E$5:$I$1048576,5,0)</f>
        <v>90098</v>
      </c>
      <c r="AC14" s="125">
        <f t="shared" si="1"/>
        <v>90098</v>
      </c>
      <c r="AD14" s="96"/>
    </row>
    <row r="15" spans="1:32" s="4" customFormat="1">
      <c r="A15" s="121"/>
      <c r="B15" s="121"/>
      <c r="C15" s="121">
        <v>2</v>
      </c>
      <c r="D15" s="126" t="s">
        <v>181</v>
      </c>
      <c r="E15" s="121"/>
      <c r="F15" s="121"/>
      <c r="G15" s="121" t="s">
        <v>182</v>
      </c>
      <c r="H15" s="126" t="s">
        <v>183</v>
      </c>
      <c r="I15" s="121"/>
      <c r="J15" s="121"/>
      <c r="K15" s="121"/>
      <c r="L15" s="121"/>
      <c r="M15" s="121"/>
      <c r="N15" s="121"/>
      <c r="O15" s="126">
        <v>1</v>
      </c>
      <c r="P15" s="121"/>
      <c r="Q15" s="122"/>
      <c r="R15" s="121"/>
      <c r="S15" s="121"/>
      <c r="T15" s="121"/>
      <c r="U15" s="121"/>
      <c r="V15" s="121"/>
      <c r="W15" s="121"/>
      <c r="X15" s="121" t="s">
        <v>150</v>
      </c>
      <c r="Y15" s="121"/>
      <c r="Z15" s="121"/>
      <c r="AA15" s="179"/>
      <c r="AB15" s="125">
        <f>VLOOKUP(D15,원가정보3!$E$5:$I$1048576,5,0)</f>
        <v>339.41599999999994</v>
      </c>
      <c r="AC15" s="125">
        <f t="shared" si="1"/>
        <v>339.41599999999994</v>
      </c>
      <c r="AD15" s="96"/>
    </row>
    <row r="16" spans="1:32" s="4" customFormat="1">
      <c r="A16" s="121"/>
      <c r="B16" s="121"/>
      <c r="C16" s="121">
        <v>2</v>
      </c>
      <c r="D16" s="126" t="s">
        <v>184</v>
      </c>
      <c r="E16" s="121"/>
      <c r="F16" s="121"/>
      <c r="G16" s="121" t="s">
        <v>185</v>
      </c>
      <c r="H16" s="126" t="s">
        <v>186</v>
      </c>
      <c r="I16" s="121"/>
      <c r="J16" s="121"/>
      <c r="K16" s="121"/>
      <c r="L16" s="121"/>
      <c r="M16" s="121"/>
      <c r="N16" s="121"/>
      <c r="O16" s="126">
        <v>2</v>
      </c>
      <c r="P16" s="121"/>
      <c r="Q16" s="122"/>
      <c r="R16" s="121"/>
      <c r="S16" s="121"/>
      <c r="T16" s="121"/>
      <c r="U16" s="121"/>
      <c r="V16" s="121"/>
      <c r="W16" s="121"/>
      <c r="X16" s="121" t="s">
        <v>150</v>
      </c>
      <c r="Y16" s="121"/>
      <c r="Z16" s="121"/>
      <c r="AA16" s="179"/>
      <c r="AB16" s="125">
        <f>VLOOKUP(D16,원가정보3!$E$5:$I$1048576,5,0)</f>
        <v>13195</v>
      </c>
      <c r="AC16" s="125">
        <f t="shared" si="1"/>
        <v>26390</v>
      </c>
      <c r="AD16" s="96"/>
    </row>
    <row r="17" spans="1:30" s="4" customFormat="1" outlineLevel="1">
      <c r="A17" s="121"/>
      <c r="B17" s="121"/>
      <c r="C17" s="127"/>
      <c r="D17" s="121" t="s">
        <v>188</v>
      </c>
      <c r="E17" s="121"/>
      <c r="F17" s="121"/>
      <c r="G17" s="121" t="s">
        <v>190</v>
      </c>
      <c r="H17" s="121" t="s">
        <v>191</v>
      </c>
      <c r="I17" s="121" t="s">
        <v>192</v>
      </c>
      <c r="J17" s="121" t="s">
        <v>193</v>
      </c>
      <c r="K17" s="121" t="s">
        <v>194</v>
      </c>
      <c r="L17" s="121" t="s">
        <v>173</v>
      </c>
      <c r="M17" s="121"/>
      <c r="N17" s="121">
        <v>1</v>
      </c>
      <c r="O17" s="156">
        <v>1</v>
      </c>
      <c r="P17" s="129"/>
      <c r="Q17" s="130"/>
      <c r="R17" s="130"/>
      <c r="S17" s="129"/>
      <c r="T17" s="121" t="s">
        <v>195</v>
      </c>
      <c r="U17" s="121" t="s">
        <v>196</v>
      </c>
      <c r="V17" s="121"/>
      <c r="W17" s="121" t="s">
        <v>197</v>
      </c>
      <c r="X17" s="121" t="s">
        <v>150</v>
      </c>
      <c r="Y17" s="157">
        <v>45002.589409722219</v>
      </c>
      <c r="Z17" s="157">
        <v>45002.589409722219</v>
      </c>
      <c r="AA17" s="179"/>
      <c r="AB17" s="125">
        <f>VLOOKUP(D17,원가정보3!$E$5:$I$1048576,5,0)</f>
        <v>12768</v>
      </c>
      <c r="AC17" s="125">
        <f t="shared" si="1"/>
        <v>12768</v>
      </c>
      <c r="AD17" s="96"/>
    </row>
    <row r="18" spans="1:30" s="4" customFormat="1" ht="18" customHeight="1" outlineLevel="1">
      <c r="A18" s="121"/>
      <c r="B18" s="121"/>
      <c r="C18" s="127"/>
      <c r="D18" s="121" t="s">
        <v>550</v>
      </c>
      <c r="E18" s="121">
        <v>680</v>
      </c>
      <c r="F18" s="121" t="s">
        <v>189</v>
      </c>
      <c r="G18" s="121" t="s">
        <v>199</v>
      </c>
      <c r="H18" s="121" t="s">
        <v>551</v>
      </c>
      <c r="I18" s="121" t="s">
        <v>192</v>
      </c>
      <c r="J18" s="121" t="s">
        <v>193</v>
      </c>
      <c r="K18" s="121" t="s">
        <v>201</v>
      </c>
      <c r="L18" s="121" t="s">
        <v>202</v>
      </c>
      <c r="M18" s="121"/>
      <c r="N18" s="121"/>
      <c r="O18" s="131">
        <f>IF('DROP DOWN 지정'!$X$35&gt;3000,1,0)</f>
        <v>0</v>
      </c>
      <c r="P18" s="129"/>
      <c r="Q18" s="130" t="s">
        <v>203</v>
      </c>
      <c r="R18" s="130"/>
      <c r="S18" s="129"/>
      <c r="T18" s="121" t="s">
        <v>204</v>
      </c>
      <c r="U18" s="121" t="s">
        <v>205</v>
      </c>
      <c r="V18" s="121"/>
      <c r="W18" s="121" t="s">
        <v>197</v>
      </c>
      <c r="X18" s="121" t="s">
        <v>150</v>
      </c>
      <c r="Y18" s="157"/>
      <c r="Z18" s="157"/>
      <c r="AA18" s="179"/>
      <c r="AB18" s="125">
        <f>VLOOKUP(D18,원가정보3!$E$5:$I$1048576,5,0)</f>
        <v>79170</v>
      </c>
      <c r="AC18" s="125">
        <f t="shared" si="1"/>
        <v>0</v>
      </c>
      <c r="AD18" s="96"/>
    </row>
    <row r="19" spans="1:30" s="4" customFormat="1" ht="18" customHeight="1" outlineLevel="1">
      <c r="A19" s="121"/>
      <c r="B19" s="121"/>
      <c r="C19" s="127"/>
      <c r="D19" s="121" t="s">
        <v>206</v>
      </c>
      <c r="E19" s="121">
        <v>600</v>
      </c>
      <c r="F19" s="121" t="s">
        <v>189</v>
      </c>
      <c r="G19" s="121" t="s">
        <v>207</v>
      </c>
      <c r="H19" s="121" t="s">
        <v>208</v>
      </c>
      <c r="I19" s="121" t="s">
        <v>192</v>
      </c>
      <c r="J19" s="121" t="s">
        <v>193</v>
      </c>
      <c r="K19" s="121" t="s">
        <v>209</v>
      </c>
      <c r="L19" s="121" t="s">
        <v>202</v>
      </c>
      <c r="M19" s="121"/>
      <c r="N19" s="121"/>
      <c r="O19" s="131">
        <f>IF('사양 입력'!$C$14&gt;31000,1,0)</f>
        <v>1</v>
      </c>
      <c r="P19" s="129"/>
      <c r="Q19" s="130" t="s">
        <v>203</v>
      </c>
      <c r="R19" s="130"/>
      <c r="S19" s="129"/>
      <c r="T19" s="121" t="s">
        <v>210</v>
      </c>
      <c r="U19" s="121"/>
      <c r="V19" s="121"/>
      <c r="W19" s="121"/>
      <c r="X19" s="121" t="s">
        <v>150</v>
      </c>
      <c r="Y19" s="157"/>
      <c r="Z19" s="157"/>
      <c r="AA19" s="179"/>
      <c r="AB19" s="125">
        <f>VLOOKUP(D19,원가정보3!$E$5:$I$1048576,5,0)</f>
        <v>20300</v>
      </c>
      <c r="AC19" s="125">
        <f t="shared" si="1"/>
        <v>20300</v>
      </c>
      <c r="AD19" s="96"/>
    </row>
    <row r="20" spans="1:30" s="4" customFormat="1" ht="18" customHeight="1" outlineLevel="1">
      <c r="A20" s="121"/>
      <c r="B20" s="121"/>
      <c r="C20" s="127"/>
      <c r="D20" s="121" t="s">
        <v>213</v>
      </c>
      <c r="E20" s="121">
        <v>1390</v>
      </c>
      <c r="F20" s="121" t="s">
        <v>189</v>
      </c>
      <c r="G20" s="121" t="s">
        <v>214</v>
      </c>
      <c r="H20" s="121" t="s">
        <v>215</v>
      </c>
      <c r="I20" s="121" t="s">
        <v>192</v>
      </c>
      <c r="J20" s="121" t="s">
        <v>193</v>
      </c>
      <c r="K20" s="121" t="s">
        <v>216</v>
      </c>
      <c r="L20" s="121" t="s">
        <v>202</v>
      </c>
      <c r="M20" s="121"/>
      <c r="N20" s="121"/>
      <c r="O20" s="131">
        <f>O19</f>
        <v>1</v>
      </c>
      <c r="P20" s="129"/>
      <c r="Q20" s="130"/>
      <c r="R20" s="130"/>
      <c r="S20" s="129"/>
      <c r="T20" s="121" t="s">
        <v>552</v>
      </c>
      <c r="U20" s="121"/>
      <c r="V20" s="121"/>
      <c r="W20" s="121"/>
      <c r="X20" s="121" t="s">
        <v>150</v>
      </c>
      <c r="Y20" s="157"/>
      <c r="Z20" s="157"/>
      <c r="AA20" s="179"/>
      <c r="AB20" s="125">
        <f>VLOOKUP(D20,원가정보3!$E$5:$I$1048576,5,0)</f>
        <v>6830</v>
      </c>
      <c r="AC20" s="125">
        <f t="shared" si="1"/>
        <v>6830</v>
      </c>
      <c r="AD20" s="96"/>
    </row>
    <row r="21" spans="1:30" s="86" customFormat="1" ht="18" customHeight="1" outlineLevel="1">
      <c r="A21" s="121"/>
      <c r="B21" s="121"/>
      <c r="C21" s="127"/>
      <c r="D21" s="322" t="s">
        <v>221</v>
      </c>
      <c r="E21" s="121"/>
      <c r="F21" s="121"/>
      <c r="G21" t="s">
        <v>222</v>
      </c>
      <c r="H21" s="121"/>
      <c r="I21" s="121"/>
      <c r="J21" s="121"/>
      <c r="K21" s="121"/>
      <c r="L21" s="121"/>
      <c r="M21" s="121"/>
      <c r="N21" s="121"/>
      <c r="O21" s="133">
        <v>1</v>
      </c>
      <c r="P21" s="129"/>
      <c r="Q21" s="130"/>
      <c r="R21" s="130"/>
      <c r="S21" s="129"/>
      <c r="T21" s="121"/>
      <c r="U21" s="121"/>
      <c r="V21" s="121"/>
      <c r="W21" s="121"/>
      <c r="X21" s="121" t="s">
        <v>224</v>
      </c>
      <c r="Y21" s="121"/>
      <c r="Z21" s="125"/>
      <c r="AA21" s="125"/>
      <c r="AB21" s="125">
        <f>VLOOKUP(D21,원가정보3!$E$5:$I$1048576,5,0)</f>
        <v>12078</v>
      </c>
      <c r="AC21" s="125">
        <f t="shared" si="1"/>
        <v>12078</v>
      </c>
      <c r="AD21" s="3" t="s">
        <v>225</v>
      </c>
    </row>
    <row r="22" spans="1:30" s="86" customFormat="1" ht="18" customHeight="1" outlineLevel="1">
      <c r="A22" s="121"/>
      <c r="B22" s="121"/>
      <c r="C22" s="127"/>
      <c r="D22" s="121" t="str">
        <f>REPLACE($D$23,9,1,"P")</f>
        <v>20302159P0200</v>
      </c>
      <c r="E22" s="121"/>
      <c r="F22" s="121"/>
      <c r="G22" s="122" t="s">
        <v>218</v>
      </c>
      <c r="H22" s="121"/>
      <c r="I22" s="121"/>
      <c r="J22" s="121"/>
      <c r="K22" s="121"/>
      <c r="L22" s="121"/>
      <c r="M22" s="121"/>
      <c r="N22" s="121"/>
      <c r="O22" s="133">
        <v>1</v>
      </c>
      <c r="P22" s="129"/>
      <c r="Q22" s="130"/>
      <c r="R22" s="130"/>
      <c r="S22" s="129"/>
      <c r="T22" s="121"/>
      <c r="U22" s="121"/>
      <c r="V22" s="121"/>
      <c r="W22" s="121"/>
      <c r="X22" s="121" t="s">
        <v>150</v>
      </c>
      <c r="Y22" s="157"/>
      <c r="Z22" s="157"/>
      <c r="AA22" s="179"/>
      <c r="AB22" s="125">
        <f>VLOOKUP(D22,원가정보3!$E$5:$I$1048576,5,0)</f>
        <v>37552.9</v>
      </c>
      <c r="AC22" s="125">
        <f t="shared" si="1"/>
        <v>37552.9</v>
      </c>
      <c r="AD22" s="87"/>
    </row>
    <row r="23" spans="1:30" s="86" customFormat="1" ht="18" customHeight="1" outlineLevel="1">
      <c r="A23" s="121"/>
      <c r="B23" s="121"/>
      <c r="C23" s="127"/>
      <c r="D23" s="121" t="str">
        <f>H23&amp;"00"</f>
        <v>20302159G0200</v>
      </c>
      <c r="E23" s="121"/>
      <c r="F23" s="121"/>
      <c r="G23" s="121" t="s">
        <v>219</v>
      </c>
      <c r="H23" s="121" t="str">
        <f>IF('사양 입력'!$G$4="MR",VLOOKUP('사양 입력'!$G$4&amp;'사양 입력'!$G$5&amp;'사양 입력'!$G$6&amp;'사양 입력'!$C$16&amp;'사양 입력'!$G$12,'CP ASSY'!$U$12:$Z$251,4,FALSE),"ERROR")</f>
        <v>20302159G02</v>
      </c>
      <c r="I23" s="121"/>
      <c r="J23" s="121"/>
      <c r="K23" s="121"/>
      <c r="L23" s="121"/>
      <c r="M23" s="121"/>
      <c r="N23" s="121"/>
      <c r="O23" s="133">
        <v>1</v>
      </c>
      <c r="P23" s="129"/>
      <c r="Q23" s="130"/>
      <c r="R23" s="130"/>
      <c r="S23" s="129"/>
      <c r="T23" s="121"/>
      <c r="U23" s="121"/>
      <c r="V23" s="121"/>
      <c r="W23" s="121"/>
      <c r="X23" s="121" t="s">
        <v>150</v>
      </c>
      <c r="Y23" s="157"/>
      <c r="Z23" s="157"/>
      <c r="AA23" s="179"/>
      <c r="AB23" s="125">
        <f>VLOOKUP(D23,원가정보3!$E$5:$I$1048576,5,0)</f>
        <v>780280.60000000009</v>
      </c>
      <c r="AC23" s="125">
        <f t="shared" si="1"/>
        <v>780280.60000000009</v>
      </c>
      <c r="AD23" s="87"/>
    </row>
    <row r="24" spans="1:30" s="86" customFormat="1" ht="18" customHeight="1" outlineLevel="1">
      <c r="A24" s="121"/>
      <c r="B24" s="121"/>
      <c r="C24" s="127"/>
      <c r="D24" s="121" t="str">
        <f>IF('사양 입력'!$G$4="MR",VLOOKUP('사양 입력'!$G$4&amp;'사양 입력'!$G$5&amp;'사양 입력'!$G$6&amp;'사양 입력'!$C$16&amp;'사양 입력'!$G$12,'CP ASSY'!$U$12:$Z$251,6,FALSE),"ERROR")</f>
        <v>HX045016H0300</v>
      </c>
      <c r="E24" s="121"/>
      <c r="F24" s="121"/>
      <c r="G24" s="121" t="s">
        <v>220</v>
      </c>
      <c r="H24" s="121" t="str">
        <f t="shared" ref="H24" si="2">LEFT(D24,11)</f>
        <v>HX045016H03</v>
      </c>
      <c r="I24" s="121"/>
      <c r="J24" s="121"/>
      <c r="K24" s="121"/>
      <c r="L24" s="121"/>
      <c r="M24" s="121"/>
      <c r="N24" s="121"/>
      <c r="O24" s="131">
        <f>IF('사양 입력'!$G$6="일반형",1,2)</f>
        <v>1</v>
      </c>
      <c r="P24" s="129"/>
      <c r="Q24" s="130"/>
      <c r="R24" s="130"/>
      <c r="S24" s="129"/>
      <c r="T24" s="121"/>
      <c r="U24" s="121"/>
      <c r="V24" s="121"/>
      <c r="W24" s="121"/>
      <c r="X24" s="121" t="s">
        <v>150</v>
      </c>
      <c r="Y24" s="157"/>
      <c r="Z24" s="157"/>
      <c r="AA24" s="179"/>
      <c r="AB24" s="125">
        <f>VLOOKUP(D24,원가정보3!$E$5:$I$1048576,5,0)</f>
        <v>120235.50000000001</v>
      </c>
      <c r="AC24" s="125">
        <f t="shared" si="1"/>
        <v>120235.50000000001</v>
      </c>
      <c r="AD24" s="87"/>
    </row>
    <row r="25" spans="1:30" s="4" customFormat="1" outlineLevel="1">
      <c r="A25" s="99" t="s">
        <v>451</v>
      </c>
      <c r="B25" s="99"/>
      <c r="C25" s="102">
        <v>1</v>
      </c>
      <c r="D25" s="104" t="str">
        <f>IF('사양 입력'!$C$8=30,"24110040G0100",IF('사양 입력'!$C$8=45,"24110040G0200",IF('사양 입력'!$C$8=60,"24110040G0300",IF('사양 입력'!$C$8=90,"24110040G0400",IF('사양 입력'!$C$8=105,"24110040G0500",IF('사양 입력'!$C$8=120,"24110040G0600",IF('사양 입력'!$C$8=150,"24110040G0700",FALSE)))))))</f>
        <v>24110040G0300</v>
      </c>
      <c r="E25" s="99">
        <v>160</v>
      </c>
      <c r="F25" s="99" t="s">
        <v>189</v>
      </c>
      <c r="G25" s="99" t="s">
        <v>230</v>
      </c>
      <c r="H25" s="100" t="str">
        <f>LEFT(D25,11)</f>
        <v>24110040G03</v>
      </c>
      <c r="I25" s="99" t="s">
        <v>192</v>
      </c>
      <c r="J25" s="99" t="s">
        <v>193</v>
      </c>
      <c r="K25" s="99" t="s">
        <v>231</v>
      </c>
      <c r="L25" s="99" t="s">
        <v>173</v>
      </c>
      <c r="M25" s="99"/>
      <c r="N25" s="99"/>
      <c r="O25" s="105">
        <v>1</v>
      </c>
      <c r="P25" s="105"/>
      <c r="Q25" s="106" t="s">
        <v>553</v>
      </c>
      <c r="R25" s="106"/>
      <c r="S25" s="105"/>
      <c r="T25" s="99" t="s">
        <v>554</v>
      </c>
      <c r="U25" s="99" t="s">
        <v>234</v>
      </c>
      <c r="V25" s="99"/>
      <c r="W25" s="99" t="s">
        <v>197</v>
      </c>
      <c r="X25" s="99" t="s">
        <v>150</v>
      </c>
      <c r="Y25" s="114">
        <v>45001.746249999997</v>
      </c>
      <c r="Z25" s="115"/>
      <c r="AA25" s="180"/>
      <c r="AB25" s="101">
        <f>VLOOKUP(D25,원가정보3!$E$5:$I$1048576,5,0)</f>
        <v>99740.294500000004</v>
      </c>
      <c r="AC25" s="101">
        <f t="shared" si="1"/>
        <v>99740.294500000004</v>
      </c>
      <c r="AD25" s="96"/>
    </row>
    <row r="26" spans="1:30" s="4" customFormat="1" outlineLevel="1">
      <c r="A26" s="99" t="s">
        <v>235</v>
      </c>
      <c r="B26" s="99"/>
      <c r="C26" s="102">
        <v>1</v>
      </c>
      <c r="D26" s="99" t="s">
        <v>555</v>
      </c>
      <c r="E26" s="99">
        <v>1570</v>
      </c>
      <c r="F26" s="99" t="s">
        <v>189</v>
      </c>
      <c r="G26" s="99" t="s">
        <v>237</v>
      </c>
      <c r="H26" s="99" t="s">
        <v>238</v>
      </c>
      <c r="I26" s="99" t="s">
        <v>192</v>
      </c>
      <c r="J26" s="99" t="s">
        <v>193</v>
      </c>
      <c r="K26" s="99" t="s">
        <v>239</v>
      </c>
      <c r="L26" s="99" t="s">
        <v>173</v>
      </c>
      <c r="M26" s="99"/>
      <c r="N26" s="99"/>
      <c r="O26" s="105">
        <v>1</v>
      </c>
      <c r="P26" s="105"/>
      <c r="Q26" s="106"/>
      <c r="R26" s="106"/>
      <c r="S26" s="105"/>
      <c r="T26" s="99" t="s">
        <v>240</v>
      </c>
      <c r="U26" s="99" t="s">
        <v>241</v>
      </c>
      <c r="V26" s="99"/>
      <c r="W26" s="99" t="s">
        <v>197</v>
      </c>
      <c r="X26" s="99" t="s">
        <v>150</v>
      </c>
      <c r="Y26" s="114">
        <v>44964.611458333333</v>
      </c>
      <c r="Z26" s="115"/>
      <c r="AA26" s="180"/>
      <c r="AB26" s="101">
        <f>VLOOKUP(D26,원가정보3!$E$5:$I$1048576,5,0)</f>
        <v>43654.600000000006</v>
      </c>
      <c r="AC26" s="101">
        <f t="shared" si="1"/>
        <v>43654.600000000006</v>
      </c>
      <c r="AD26" s="96"/>
    </row>
    <row r="27" spans="1:30" s="4" customFormat="1" outlineLevel="1">
      <c r="A27" s="99" t="s">
        <v>242</v>
      </c>
      <c r="B27" s="99"/>
      <c r="C27" s="102">
        <v>1</v>
      </c>
      <c r="D27" s="99" t="s">
        <v>243</v>
      </c>
      <c r="E27" s="99">
        <v>1580</v>
      </c>
      <c r="F27" s="99" t="s">
        <v>189</v>
      </c>
      <c r="G27" s="99" t="s">
        <v>244</v>
      </c>
      <c r="H27" s="99" t="s">
        <v>245</v>
      </c>
      <c r="I27" s="99" t="s">
        <v>192</v>
      </c>
      <c r="J27" s="99" t="s">
        <v>193</v>
      </c>
      <c r="K27" s="99" t="s">
        <v>246</v>
      </c>
      <c r="L27" s="99" t="s">
        <v>173</v>
      </c>
      <c r="M27" s="99"/>
      <c r="N27" s="99"/>
      <c r="O27" s="116">
        <f>'사양 입력'!C7</f>
        <v>15</v>
      </c>
      <c r="P27" s="105"/>
      <c r="Q27" s="106" t="s">
        <v>247</v>
      </c>
      <c r="R27" s="106"/>
      <c r="S27" s="105"/>
      <c r="T27" s="99" t="s">
        <v>248</v>
      </c>
      <c r="U27" s="99" t="s">
        <v>249</v>
      </c>
      <c r="V27" s="99"/>
      <c r="W27" s="99" t="s">
        <v>197</v>
      </c>
      <c r="X27" s="99" t="s">
        <v>150</v>
      </c>
      <c r="Y27" s="114">
        <v>44964.611458333333</v>
      </c>
      <c r="Z27" s="115"/>
      <c r="AA27" s="180"/>
      <c r="AB27" s="101">
        <f>VLOOKUP(D27,원가정보3!$E$5:$I$1048576,5,0)</f>
        <v>3390.2000000000003</v>
      </c>
      <c r="AC27" s="101">
        <f t="shared" si="1"/>
        <v>50853.000000000007</v>
      </c>
      <c r="AD27" s="96"/>
    </row>
    <row r="28" spans="1:30" s="4" customFormat="1" outlineLevel="1">
      <c r="A28" s="99" t="s">
        <v>250</v>
      </c>
      <c r="B28" s="99"/>
      <c r="C28" s="102">
        <v>1</v>
      </c>
      <c r="D28" s="99" t="s">
        <v>251</v>
      </c>
      <c r="E28" s="99">
        <v>1590</v>
      </c>
      <c r="F28" s="99" t="s">
        <v>189</v>
      </c>
      <c r="G28" s="99" t="s">
        <v>252</v>
      </c>
      <c r="H28" s="99" t="s">
        <v>253</v>
      </c>
      <c r="I28" s="99" t="s">
        <v>192</v>
      </c>
      <c r="J28" s="99" t="s">
        <v>193</v>
      </c>
      <c r="K28" s="99" t="s">
        <v>254</v>
      </c>
      <c r="L28" s="99" t="s">
        <v>173</v>
      </c>
      <c r="M28" s="99"/>
      <c r="N28" s="99"/>
      <c r="O28" s="107">
        <f>ROUNDUP(O27/5,0)</f>
        <v>3</v>
      </c>
      <c r="P28" s="105"/>
      <c r="Q28" s="106"/>
      <c r="R28" s="106"/>
      <c r="S28" s="105"/>
      <c r="T28" s="99" t="s">
        <v>255</v>
      </c>
      <c r="U28" s="99" t="s">
        <v>234</v>
      </c>
      <c r="V28" s="99"/>
      <c r="W28" s="99" t="s">
        <v>197</v>
      </c>
      <c r="X28" s="99" t="s">
        <v>150</v>
      </c>
      <c r="Y28" s="114">
        <v>44964.611458333333</v>
      </c>
      <c r="Z28" s="115"/>
      <c r="AA28" s="180"/>
      <c r="AB28" s="101">
        <f>VLOOKUP(D28,원가정보3!$E$5:$I$1048576,5,0)</f>
        <v>806.30000000000007</v>
      </c>
      <c r="AC28" s="101">
        <f t="shared" si="1"/>
        <v>2418.9</v>
      </c>
      <c r="AD28" s="96"/>
    </row>
    <row r="29" spans="1:30" s="4" customFormat="1" ht="174" outlineLevel="1">
      <c r="A29" s="158" t="s">
        <v>556</v>
      </c>
      <c r="B29" s="158"/>
      <c r="C29" s="159">
        <v>1</v>
      </c>
      <c r="D29" s="160" t="str">
        <f>IF('사양 입력'!C7&lt;10,"25900933G0"&amp;'사양 입력'!C7&amp;"00","25900933G"&amp;'사양 입력'!C7&amp;"00")</f>
        <v>25900933G1500</v>
      </c>
      <c r="E29" s="158">
        <v>190</v>
      </c>
      <c r="F29" s="158" t="s">
        <v>189</v>
      </c>
      <c r="G29" s="158" t="s">
        <v>257</v>
      </c>
      <c r="H29" s="161" t="str">
        <f>LEFT(D29,11)</f>
        <v>25900933G15</v>
      </c>
      <c r="I29" s="158" t="s">
        <v>192</v>
      </c>
      <c r="J29" s="158" t="s">
        <v>258</v>
      </c>
      <c r="K29" s="158" t="s">
        <v>259</v>
      </c>
      <c r="L29" s="158" t="s">
        <v>173</v>
      </c>
      <c r="M29" s="158"/>
      <c r="N29" s="158"/>
      <c r="O29" s="162">
        <v>1</v>
      </c>
      <c r="P29" s="162"/>
      <c r="Q29" s="163" t="s">
        <v>557</v>
      </c>
      <c r="R29" s="163"/>
      <c r="S29" s="162"/>
      <c r="T29" s="158" t="s">
        <v>558</v>
      </c>
      <c r="U29" s="158" t="s">
        <v>559</v>
      </c>
      <c r="V29" s="158"/>
      <c r="W29" s="158" t="s">
        <v>197</v>
      </c>
      <c r="X29" s="158" t="s">
        <v>150</v>
      </c>
      <c r="Y29" s="164">
        <v>45001.746249999997</v>
      </c>
      <c r="Z29" s="165"/>
      <c r="AA29" s="181"/>
      <c r="AB29" s="184">
        <f>VLOOKUP(D29,원가정보3!$E$5:$I$1048576,5,0)</f>
        <v>131715.1</v>
      </c>
      <c r="AC29" s="184">
        <f t="shared" si="1"/>
        <v>131715.1</v>
      </c>
      <c r="AD29" s="96"/>
    </row>
    <row r="30" spans="1:30" s="4" customFormat="1" outlineLevel="1">
      <c r="A30" s="158" t="s">
        <v>560</v>
      </c>
      <c r="B30" s="158"/>
      <c r="C30" s="159">
        <v>1</v>
      </c>
      <c r="D30" s="158" t="s">
        <v>264</v>
      </c>
      <c r="E30" s="158">
        <v>200</v>
      </c>
      <c r="F30" s="158" t="s">
        <v>189</v>
      </c>
      <c r="G30" s="158" t="s">
        <v>257</v>
      </c>
      <c r="H30" s="158" t="s">
        <v>265</v>
      </c>
      <c r="I30" s="158" t="s">
        <v>192</v>
      </c>
      <c r="J30" s="158" t="s">
        <v>258</v>
      </c>
      <c r="K30" s="158" t="s">
        <v>266</v>
      </c>
      <c r="L30" s="158" t="s">
        <v>173</v>
      </c>
      <c r="M30" s="158"/>
      <c r="N30" s="158"/>
      <c r="O30" s="162">
        <v>1</v>
      </c>
      <c r="P30" s="162"/>
      <c r="Q30" s="163"/>
      <c r="R30" s="163"/>
      <c r="S30" s="162"/>
      <c r="T30" s="158" t="s">
        <v>267</v>
      </c>
      <c r="U30" s="158" t="s">
        <v>234</v>
      </c>
      <c r="V30" s="158"/>
      <c r="W30" s="158" t="s">
        <v>197</v>
      </c>
      <c r="X30" s="158" t="s">
        <v>150</v>
      </c>
      <c r="Y30" s="164">
        <v>45001.746249999997</v>
      </c>
      <c r="Z30" s="165"/>
      <c r="AA30" s="181"/>
      <c r="AB30" s="184">
        <f>VLOOKUP(D30,원가정보3!$E$5:$I$1048576,5,0)</f>
        <v>13311.1</v>
      </c>
      <c r="AC30" s="184">
        <f t="shared" si="1"/>
        <v>13311.1</v>
      </c>
      <c r="AD30" s="96"/>
    </row>
    <row r="31" spans="1:30" s="4" customFormat="1" outlineLevel="1">
      <c r="A31" s="158" t="s">
        <v>187</v>
      </c>
      <c r="B31" s="158"/>
      <c r="C31" s="159">
        <v>1</v>
      </c>
      <c r="D31" s="158" t="s">
        <v>269</v>
      </c>
      <c r="E31" s="158">
        <v>210</v>
      </c>
      <c r="F31" s="158" t="s">
        <v>189</v>
      </c>
      <c r="G31" s="158" t="s">
        <v>270</v>
      </c>
      <c r="H31" s="158" t="s">
        <v>271</v>
      </c>
      <c r="I31" s="158" t="s">
        <v>192</v>
      </c>
      <c r="J31" s="158" t="s">
        <v>258</v>
      </c>
      <c r="K31" s="158" t="s">
        <v>266</v>
      </c>
      <c r="L31" s="158" t="s">
        <v>173</v>
      </c>
      <c r="M31" s="158"/>
      <c r="N31" s="158"/>
      <c r="O31" s="162">
        <v>1</v>
      </c>
      <c r="P31" s="162"/>
      <c r="Q31" s="163"/>
      <c r="R31" s="163"/>
      <c r="S31" s="162"/>
      <c r="T31" s="158" t="s">
        <v>272</v>
      </c>
      <c r="U31" s="158" t="s">
        <v>234</v>
      </c>
      <c r="V31" s="158"/>
      <c r="W31" s="158" t="s">
        <v>197</v>
      </c>
      <c r="X31" s="158" t="s">
        <v>150</v>
      </c>
      <c r="Y31" s="164">
        <v>45001.746249999997</v>
      </c>
      <c r="Z31" s="165"/>
      <c r="AA31" s="181"/>
      <c r="AB31" s="184">
        <f>VLOOKUP(D31,원가정보3!$E$5:$I$1048576,5,0)</f>
        <v>3059.1000000000004</v>
      </c>
      <c r="AC31" s="184">
        <f t="shared" si="1"/>
        <v>3059.1000000000004</v>
      </c>
      <c r="AD31" s="96"/>
    </row>
    <row r="32" spans="1:30" s="4" customFormat="1" outlineLevel="1">
      <c r="A32" s="158"/>
      <c r="B32" s="158"/>
      <c r="C32" s="159"/>
      <c r="D32" s="158" t="s">
        <v>273</v>
      </c>
      <c r="E32" s="158">
        <v>1600</v>
      </c>
      <c r="F32" s="158" t="s">
        <v>193</v>
      </c>
      <c r="G32" s="158" t="s">
        <v>257</v>
      </c>
      <c r="H32" s="158" t="s">
        <v>274</v>
      </c>
      <c r="I32" s="158" t="s">
        <v>192</v>
      </c>
      <c r="J32" s="158" t="s">
        <v>258</v>
      </c>
      <c r="K32" s="158" t="s">
        <v>275</v>
      </c>
      <c r="L32" s="158" t="s">
        <v>202</v>
      </c>
      <c r="M32" s="158"/>
      <c r="N32" s="158"/>
      <c r="O32" s="166">
        <f>IF(O27&lt;=20,O18,0)</f>
        <v>0</v>
      </c>
      <c r="P32" s="162"/>
      <c r="Q32" s="163"/>
      <c r="R32" s="163"/>
      <c r="S32" s="162"/>
      <c r="T32" s="158" t="s">
        <v>276</v>
      </c>
      <c r="U32" s="158"/>
      <c r="V32" s="158"/>
      <c r="W32" s="158"/>
      <c r="X32" s="158" t="s">
        <v>150</v>
      </c>
      <c r="Y32" s="164"/>
      <c r="Z32" s="165"/>
      <c r="AA32" s="181"/>
      <c r="AB32" s="184">
        <f>VLOOKUP(D32,원가정보3!$E$5:$I$1048576,5,0)</f>
        <v>22330</v>
      </c>
      <c r="AC32" s="184">
        <f t="shared" si="1"/>
        <v>0</v>
      </c>
      <c r="AD32" s="96"/>
    </row>
    <row r="33" spans="1:30" s="4" customFormat="1" outlineLevel="1">
      <c r="A33" s="158"/>
      <c r="B33" s="158"/>
      <c r="C33" s="159"/>
      <c r="D33" s="158" t="s">
        <v>277</v>
      </c>
      <c r="E33" s="158">
        <v>1600</v>
      </c>
      <c r="F33" s="158" t="s">
        <v>193</v>
      </c>
      <c r="G33" s="158" t="s">
        <v>257</v>
      </c>
      <c r="H33" s="158" t="s">
        <v>278</v>
      </c>
      <c r="I33" s="158" t="s">
        <v>192</v>
      </c>
      <c r="J33" s="158" t="s">
        <v>258</v>
      </c>
      <c r="K33" s="158" t="s">
        <v>275</v>
      </c>
      <c r="L33" s="158" t="s">
        <v>202</v>
      </c>
      <c r="M33" s="158"/>
      <c r="N33" s="158"/>
      <c r="O33" s="166">
        <f>IF(AND(O27&gt;20,O27&lt;30),O18,0)</f>
        <v>0</v>
      </c>
      <c r="P33" s="162"/>
      <c r="Q33" s="163"/>
      <c r="R33" s="163"/>
      <c r="S33" s="162"/>
      <c r="T33" s="158" t="s">
        <v>276</v>
      </c>
      <c r="U33" s="158"/>
      <c r="V33" s="158"/>
      <c r="W33" s="158"/>
      <c r="X33" s="158" t="s">
        <v>150</v>
      </c>
      <c r="Y33" s="164"/>
      <c r="Z33" s="165"/>
      <c r="AA33" s="181"/>
      <c r="AB33" s="184">
        <f>VLOOKUP(D33,원가정보3!$E$5:$I$1048576,5,0)</f>
        <v>32378.500000000004</v>
      </c>
      <c r="AC33" s="184">
        <f t="shared" si="1"/>
        <v>0</v>
      </c>
      <c r="AD33" s="96"/>
    </row>
    <row r="34" spans="1:30" s="4" customFormat="1" ht="34.799999999999997" outlineLevel="1">
      <c r="A34" s="158" t="s">
        <v>561</v>
      </c>
      <c r="B34" s="158"/>
      <c r="C34" s="159">
        <v>1</v>
      </c>
      <c r="D34" s="160" t="str">
        <f>IF('사양 입력'!$C$5&lt;=7,"HX058004H0200",IF(AND('사양 입력'!$C$5&gt;=7.1,'사양 입력'!$C$5&lt;=11.3),"HX058004H0300",IF(AND('사양 입력'!$C$5&gt;=11.4,'사양 입력'!$C$5&lt;=14.1),"HX058004H0400",IF(AND('사양 입력'!$C$5&gt;=14.2,'사양 입력'!$C$5&lt;=20.6),"HX058004H0500",IF(AND('사양 입력'!$C$5&gt;=20.7,'사양 입력'!$C$5&lt;=26.5),"HX058004H0600",IF(AND('사양 입력'!$C$5&gt;=26.6,'사양 입력'!$C$5&lt;=33),"HX058004H0700",IF(AND('사양 입력'!$C$5&gt;=33.1,'사양 입력'!$C$5&lt;=50),"HX058004H0800","용량오류")))))))</f>
        <v>HX058004H0200</v>
      </c>
      <c r="E34" s="158">
        <v>220</v>
      </c>
      <c r="F34" s="158" t="s">
        <v>189</v>
      </c>
      <c r="G34" s="158" t="s">
        <v>280</v>
      </c>
      <c r="H34" s="161" t="str">
        <f t="shared" ref="H34:H35" si="3">LEFT(D34,11)</f>
        <v>HX058004H02</v>
      </c>
      <c r="I34" s="158" t="s">
        <v>192</v>
      </c>
      <c r="J34" s="158" t="s">
        <v>258</v>
      </c>
      <c r="K34" s="158" t="s">
        <v>281</v>
      </c>
      <c r="L34" s="158" t="s">
        <v>173</v>
      </c>
      <c r="M34" s="158"/>
      <c r="N34" s="158"/>
      <c r="O34" s="162">
        <v>54</v>
      </c>
      <c r="P34" s="162"/>
      <c r="Q34" s="163" t="s">
        <v>562</v>
      </c>
      <c r="R34" s="163"/>
      <c r="S34" s="162"/>
      <c r="T34" s="158" t="s">
        <v>283</v>
      </c>
      <c r="U34" s="158" t="s">
        <v>284</v>
      </c>
      <c r="V34" s="158"/>
      <c r="W34" s="158" t="s">
        <v>285</v>
      </c>
      <c r="X34" s="158" t="s">
        <v>150</v>
      </c>
      <c r="Y34" s="164">
        <v>45001.746249999997</v>
      </c>
      <c r="Z34" s="165"/>
      <c r="AA34" s="181"/>
      <c r="AB34" s="184">
        <f>VLOOKUP(D34,원가정보3!$E$5:$I$1048576,5,0)</f>
        <v>1027.4000000000001</v>
      </c>
      <c r="AC34" s="184">
        <f t="shared" si="1"/>
        <v>55479.600000000006</v>
      </c>
      <c r="AD34" s="96"/>
    </row>
    <row r="35" spans="1:30" s="4" customFormat="1" ht="34.799999999999997" outlineLevel="1">
      <c r="A35" s="158" t="s">
        <v>563</v>
      </c>
      <c r="B35" s="158"/>
      <c r="C35" s="159">
        <v>1</v>
      </c>
      <c r="D35" s="160" t="str">
        <f>IF('사양 입력'!$C$5&lt;=7,"HX058006H0200",IF(AND('사양 입력'!$C$5&gt;=7.1,'사양 입력'!$C$5&lt;=11.3),"HX058006H0300",IF(AND('사양 입력'!$C$5&gt;=11.4,'사양 입력'!$C$5&lt;=14.1),"HX058006H0400",IF(AND('사양 입력'!$C$5&gt;=14.2,'사양 입력'!$C$5&lt;=33),"HX058006H0500",IF(AND('사양 입력'!$C$5&gt;=33.1,'사양 입력'!$C$5&lt;=50),"HX058006H0600","용량오류")))))</f>
        <v>HX058006H0200</v>
      </c>
      <c r="E35" s="158">
        <v>230</v>
      </c>
      <c r="F35" s="158" t="s">
        <v>193</v>
      </c>
      <c r="G35" s="158" t="s">
        <v>257</v>
      </c>
      <c r="H35" s="161" t="str">
        <f t="shared" si="3"/>
        <v>HX058006H02</v>
      </c>
      <c r="I35" s="158" t="s">
        <v>192</v>
      </c>
      <c r="J35" s="158" t="s">
        <v>258</v>
      </c>
      <c r="K35" s="158" t="s">
        <v>288</v>
      </c>
      <c r="L35" s="158" t="s">
        <v>173</v>
      </c>
      <c r="M35" s="158"/>
      <c r="N35" s="158"/>
      <c r="O35" s="162">
        <v>18</v>
      </c>
      <c r="P35" s="162"/>
      <c r="Q35" s="163" t="s">
        <v>564</v>
      </c>
      <c r="R35" s="163"/>
      <c r="S35" s="162"/>
      <c r="T35" s="158" t="s">
        <v>290</v>
      </c>
      <c r="U35" s="158" t="s">
        <v>284</v>
      </c>
      <c r="V35" s="158"/>
      <c r="W35" s="158" t="s">
        <v>285</v>
      </c>
      <c r="X35" s="158" t="s">
        <v>150</v>
      </c>
      <c r="Y35" s="164">
        <v>45001.746249999997</v>
      </c>
      <c r="Z35" s="165"/>
      <c r="AA35" s="181"/>
      <c r="AB35" s="184">
        <f>VLOOKUP(D35,원가정보3!$E$5:$I$1048576,5,0)</f>
        <v>1027.4000000000001</v>
      </c>
      <c r="AC35" s="184">
        <f t="shared" si="1"/>
        <v>18493.2</v>
      </c>
      <c r="AD35" s="96"/>
    </row>
    <row r="36" spans="1:30" s="4" customFormat="1" outlineLevel="1">
      <c r="A36" s="158" t="s">
        <v>565</v>
      </c>
      <c r="B36" s="158"/>
      <c r="C36" s="159">
        <v>1</v>
      </c>
      <c r="D36" s="158" t="s">
        <v>566</v>
      </c>
      <c r="E36" s="158">
        <v>240</v>
      </c>
      <c r="F36" s="158" t="s">
        <v>189</v>
      </c>
      <c r="G36" s="158" t="s">
        <v>567</v>
      </c>
      <c r="H36" s="158" t="s">
        <v>568</v>
      </c>
      <c r="I36" s="158" t="s">
        <v>192</v>
      </c>
      <c r="J36" s="158" t="s">
        <v>258</v>
      </c>
      <c r="K36" s="158" t="s">
        <v>569</v>
      </c>
      <c r="L36" s="158" t="s">
        <v>173</v>
      </c>
      <c r="M36" s="158"/>
      <c r="N36" s="158"/>
      <c r="O36" s="162">
        <v>20</v>
      </c>
      <c r="P36" s="162"/>
      <c r="Q36" s="163" t="s">
        <v>570</v>
      </c>
      <c r="R36" s="163"/>
      <c r="S36" s="162"/>
      <c r="T36" s="158" t="s">
        <v>571</v>
      </c>
      <c r="U36" s="158" t="s">
        <v>284</v>
      </c>
      <c r="V36" s="158"/>
      <c r="W36" s="158" t="s">
        <v>285</v>
      </c>
      <c r="X36" s="158" t="s">
        <v>150</v>
      </c>
      <c r="Y36" s="164">
        <v>45001.746249999997</v>
      </c>
      <c r="Z36" s="165"/>
      <c r="AA36" s="181"/>
      <c r="AB36" s="184">
        <f>VLOOKUP(D36,원가정보3!$E$5:$I$1048576,5,0)</f>
        <v>671</v>
      </c>
      <c r="AC36" s="184">
        <f t="shared" si="1"/>
        <v>13420</v>
      </c>
      <c r="AD36" s="96"/>
    </row>
    <row r="37" spans="1:30" s="4" customFormat="1" outlineLevel="1">
      <c r="A37" s="158" t="s">
        <v>572</v>
      </c>
      <c r="B37" s="158"/>
      <c r="C37" s="159">
        <v>1</v>
      </c>
      <c r="D37" s="158" t="s">
        <v>292</v>
      </c>
      <c r="E37" s="158">
        <v>250</v>
      </c>
      <c r="F37" s="158" t="s">
        <v>189</v>
      </c>
      <c r="G37" s="158" t="s">
        <v>257</v>
      </c>
      <c r="H37" s="158" t="s">
        <v>293</v>
      </c>
      <c r="I37" s="158" t="s">
        <v>192</v>
      </c>
      <c r="J37" s="158" t="s">
        <v>258</v>
      </c>
      <c r="K37" s="158" t="s">
        <v>294</v>
      </c>
      <c r="L37" s="158" t="s">
        <v>173</v>
      </c>
      <c r="M37" s="158"/>
      <c r="N37" s="158"/>
      <c r="O37" s="162">
        <v>10</v>
      </c>
      <c r="P37" s="162"/>
      <c r="Q37" s="163" t="s">
        <v>295</v>
      </c>
      <c r="R37" s="163"/>
      <c r="S37" s="162"/>
      <c r="T37" s="158" t="s">
        <v>296</v>
      </c>
      <c r="U37" s="158" t="s">
        <v>234</v>
      </c>
      <c r="V37" s="158"/>
      <c r="W37" s="158" t="s">
        <v>285</v>
      </c>
      <c r="X37" s="158" t="s">
        <v>150</v>
      </c>
      <c r="Y37" s="164">
        <v>45001.746249999997</v>
      </c>
      <c r="Z37" s="165"/>
      <c r="AA37" s="181"/>
      <c r="AB37" s="184">
        <f>VLOOKUP(D37,원가정보3!$E$5:$I$1048576,5,0)</f>
        <v>378.40000000000003</v>
      </c>
      <c r="AC37" s="184">
        <f t="shared" si="1"/>
        <v>3784.0000000000005</v>
      </c>
      <c r="AD37" s="96"/>
    </row>
    <row r="38" spans="1:30" s="4" customFormat="1" ht="34.799999999999997" outlineLevel="1">
      <c r="A38" s="158" t="s">
        <v>573</v>
      </c>
      <c r="B38" s="158"/>
      <c r="C38" s="159">
        <v>1</v>
      </c>
      <c r="D38" s="158" t="s">
        <v>574</v>
      </c>
      <c r="E38" s="158">
        <v>260</v>
      </c>
      <c r="F38" s="158" t="s">
        <v>189</v>
      </c>
      <c r="G38" s="158" t="s">
        <v>257</v>
      </c>
      <c r="H38" s="158" t="s">
        <v>299</v>
      </c>
      <c r="I38" s="158" t="s">
        <v>192</v>
      </c>
      <c r="J38" s="158" t="s">
        <v>258</v>
      </c>
      <c r="K38" s="158" t="s">
        <v>300</v>
      </c>
      <c r="L38" s="158" t="s">
        <v>173</v>
      </c>
      <c r="M38" s="158"/>
      <c r="N38" s="158"/>
      <c r="O38" s="162">
        <v>11</v>
      </c>
      <c r="P38" s="162"/>
      <c r="Q38" s="163" t="s">
        <v>575</v>
      </c>
      <c r="R38" s="163"/>
      <c r="S38" s="162"/>
      <c r="T38" s="158" t="s">
        <v>302</v>
      </c>
      <c r="U38" s="158" t="s">
        <v>303</v>
      </c>
      <c r="V38" s="158"/>
      <c r="W38" s="158" t="s">
        <v>285</v>
      </c>
      <c r="X38" s="158" t="s">
        <v>150</v>
      </c>
      <c r="Y38" s="164">
        <v>45001.746249999997</v>
      </c>
      <c r="Z38" s="165"/>
      <c r="AA38" s="181"/>
      <c r="AB38" s="184">
        <f>VLOOKUP(D38,원가정보3!$E$5:$I$1048576,5,0)</f>
        <v>817.30000000000007</v>
      </c>
      <c r="AC38" s="184">
        <f t="shared" si="1"/>
        <v>8990.3000000000011</v>
      </c>
      <c r="AD38" s="96"/>
    </row>
    <row r="39" spans="1:30" s="4" customFormat="1" outlineLevel="1">
      <c r="A39" s="158" t="s">
        <v>576</v>
      </c>
      <c r="B39" s="158"/>
      <c r="C39" s="159">
        <v>1</v>
      </c>
      <c r="D39" s="158" t="s">
        <v>305</v>
      </c>
      <c r="E39" s="158">
        <v>270</v>
      </c>
      <c r="F39" s="158" t="s">
        <v>189</v>
      </c>
      <c r="G39" s="158" t="s">
        <v>257</v>
      </c>
      <c r="H39" s="158" t="s">
        <v>306</v>
      </c>
      <c r="I39" s="158" t="s">
        <v>192</v>
      </c>
      <c r="J39" s="158" t="s">
        <v>258</v>
      </c>
      <c r="K39" s="158" t="s">
        <v>307</v>
      </c>
      <c r="L39" s="158" t="s">
        <v>173</v>
      </c>
      <c r="M39" s="158"/>
      <c r="N39" s="158"/>
      <c r="O39" s="162">
        <v>4</v>
      </c>
      <c r="P39" s="162"/>
      <c r="Q39" s="163" t="s">
        <v>308</v>
      </c>
      <c r="R39" s="163"/>
      <c r="S39" s="162"/>
      <c r="T39" s="158" t="s">
        <v>309</v>
      </c>
      <c r="U39" s="158" t="s">
        <v>310</v>
      </c>
      <c r="V39" s="158"/>
      <c r="W39" s="158" t="s">
        <v>285</v>
      </c>
      <c r="X39" s="158" t="s">
        <v>150</v>
      </c>
      <c r="Y39" s="164">
        <v>45001.746249999997</v>
      </c>
      <c r="Z39" s="165"/>
      <c r="AA39" s="181"/>
      <c r="AB39" s="184">
        <f>VLOOKUP(D39,원가정보3!$E$5:$I$1048576,5,0)</f>
        <v>1196.8000000000002</v>
      </c>
      <c r="AC39" s="184">
        <f t="shared" si="1"/>
        <v>4787.2000000000007</v>
      </c>
      <c r="AD39" s="96"/>
    </row>
    <row r="40" spans="1:30" s="4" customFormat="1" ht="69.599999999999994" outlineLevel="1">
      <c r="A40" s="158" t="s">
        <v>577</v>
      </c>
      <c r="B40" s="158"/>
      <c r="C40" s="159">
        <v>1</v>
      </c>
      <c r="D40" s="158" t="s">
        <v>312</v>
      </c>
      <c r="E40" s="158">
        <v>280</v>
      </c>
      <c r="F40" s="158" t="s">
        <v>189</v>
      </c>
      <c r="G40" s="158" t="s">
        <v>257</v>
      </c>
      <c r="H40" s="158" t="s">
        <v>313</v>
      </c>
      <c r="I40" s="158" t="s">
        <v>192</v>
      </c>
      <c r="J40" s="158" t="s">
        <v>258</v>
      </c>
      <c r="K40" s="158" t="s">
        <v>578</v>
      </c>
      <c r="L40" s="158" t="s">
        <v>173</v>
      </c>
      <c r="M40" s="158"/>
      <c r="N40" s="158"/>
      <c r="O40" s="166">
        <f>ROUNDUP(8+14+4+8.2+('사양 입력'!C12+'사양 입력'!C11)/1000,0)</f>
        <v>84</v>
      </c>
      <c r="P40" s="162"/>
      <c r="Q40" s="163" t="s">
        <v>579</v>
      </c>
      <c r="R40" s="163"/>
      <c r="S40" s="162"/>
      <c r="T40" s="158" t="s">
        <v>316</v>
      </c>
      <c r="U40" s="158" t="s">
        <v>303</v>
      </c>
      <c r="V40" s="158"/>
      <c r="W40" s="158" t="s">
        <v>285</v>
      </c>
      <c r="X40" s="158" t="s">
        <v>150</v>
      </c>
      <c r="Y40" s="164">
        <v>45001.746249999997</v>
      </c>
      <c r="Z40" s="165"/>
      <c r="AA40" s="181"/>
      <c r="AB40" s="184">
        <f>VLOOKUP(D40,원가정보3!$E$5:$I$1048576,5,0)</f>
        <v>1767.7</v>
      </c>
      <c r="AC40" s="184">
        <f t="shared" si="1"/>
        <v>148486.80000000002</v>
      </c>
      <c r="AD40" s="96"/>
    </row>
    <row r="41" spans="1:30" s="4" customFormat="1" outlineLevel="1">
      <c r="A41" s="158" t="s">
        <v>580</v>
      </c>
      <c r="B41" s="158"/>
      <c r="C41" s="159">
        <v>1</v>
      </c>
      <c r="D41" s="158" t="s">
        <v>318</v>
      </c>
      <c r="E41" s="158">
        <v>290</v>
      </c>
      <c r="F41" s="158" t="s">
        <v>189</v>
      </c>
      <c r="G41" s="158" t="s">
        <v>257</v>
      </c>
      <c r="H41" s="158" t="s">
        <v>319</v>
      </c>
      <c r="I41" s="158" t="s">
        <v>192</v>
      </c>
      <c r="J41" s="158" t="s">
        <v>258</v>
      </c>
      <c r="K41" s="158" t="s">
        <v>320</v>
      </c>
      <c r="L41" s="158" t="s">
        <v>173</v>
      </c>
      <c r="M41" s="158"/>
      <c r="N41" s="158"/>
      <c r="O41" s="166">
        <f>ROUNDUP(11+('사양 입력'!$C$11+'사양 입력'!$C$12)/1000,0)</f>
        <v>61</v>
      </c>
      <c r="P41" s="162"/>
      <c r="Q41" s="163" t="s">
        <v>581</v>
      </c>
      <c r="R41" s="163"/>
      <c r="S41" s="162"/>
      <c r="T41" s="158" t="s">
        <v>322</v>
      </c>
      <c r="U41" s="158" t="s">
        <v>303</v>
      </c>
      <c r="V41" s="158"/>
      <c r="W41" s="158" t="s">
        <v>285</v>
      </c>
      <c r="X41" s="158" t="s">
        <v>150</v>
      </c>
      <c r="Y41" s="164">
        <v>45001.746249999997</v>
      </c>
      <c r="Z41" s="165"/>
      <c r="AA41" s="181"/>
      <c r="AB41" s="184">
        <f>VLOOKUP(D41,원가정보3!$E$5:$I$1048576,5,0)</f>
        <v>3997.4000000000005</v>
      </c>
      <c r="AC41" s="184">
        <f t="shared" si="1"/>
        <v>243841.40000000002</v>
      </c>
      <c r="AD41" s="96"/>
    </row>
    <row r="42" spans="1:30" s="4" customFormat="1" outlineLevel="1">
      <c r="A42" s="158"/>
      <c r="B42" s="158"/>
      <c r="C42" s="159"/>
      <c r="D42" s="158" t="s">
        <v>323</v>
      </c>
      <c r="E42" s="158">
        <v>1680</v>
      </c>
      <c r="F42" s="158" t="s">
        <v>189</v>
      </c>
      <c r="G42" s="158" t="s">
        <v>257</v>
      </c>
      <c r="H42" s="158" t="s">
        <v>324</v>
      </c>
      <c r="I42" s="158" t="s">
        <v>192</v>
      </c>
      <c r="J42" s="158" t="s">
        <v>258</v>
      </c>
      <c r="K42" s="158" t="s">
        <v>325</v>
      </c>
      <c r="L42" s="158" t="s">
        <v>202</v>
      </c>
      <c r="M42" s="158"/>
      <c r="N42" s="158"/>
      <c r="O42" s="166">
        <f>IF(O18&gt;=1,ROUNDUP((5000+'사양 입력'!$C$11+'사양 입력'!$C$12+4000)/1000,0),0)</f>
        <v>0</v>
      </c>
      <c r="P42" s="162"/>
      <c r="Q42" s="163" t="s">
        <v>326</v>
      </c>
      <c r="R42" s="163"/>
      <c r="S42" s="162"/>
      <c r="T42" s="158" t="s">
        <v>327</v>
      </c>
      <c r="U42" s="158"/>
      <c r="V42" s="158"/>
      <c r="W42" s="158"/>
      <c r="X42" s="158" t="s">
        <v>150</v>
      </c>
      <c r="Y42" s="164"/>
      <c r="Z42" s="165"/>
      <c r="AA42" s="181"/>
      <c r="AB42" s="184">
        <f>VLOOKUP(D42,원가정보3!$E$5:$I$1048576,5,0)</f>
        <v>1745.7</v>
      </c>
      <c r="AC42" s="184">
        <f t="shared" si="1"/>
        <v>0</v>
      </c>
      <c r="AD42" s="96"/>
    </row>
    <row r="43" spans="1:30" s="4" customFormat="1" outlineLevel="1">
      <c r="A43" s="158" t="s">
        <v>582</v>
      </c>
      <c r="B43" s="158"/>
      <c r="C43" s="159">
        <v>1</v>
      </c>
      <c r="D43" s="158" t="s">
        <v>583</v>
      </c>
      <c r="E43" s="158">
        <v>300</v>
      </c>
      <c r="F43" s="158" t="s">
        <v>189</v>
      </c>
      <c r="G43" s="158" t="s">
        <v>257</v>
      </c>
      <c r="H43" s="158" t="s">
        <v>584</v>
      </c>
      <c r="I43" s="158" t="s">
        <v>192</v>
      </c>
      <c r="J43" s="158" t="s">
        <v>258</v>
      </c>
      <c r="K43" s="158" t="s">
        <v>585</v>
      </c>
      <c r="L43" s="158" t="s">
        <v>173</v>
      </c>
      <c r="M43" s="158"/>
      <c r="N43" s="158"/>
      <c r="O43" s="166">
        <f>ROUNDUP(16+'사양 입력'!$C$14/1000,0)</f>
        <v>67</v>
      </c>
      <c r="P43" s="162"/>
      <c r="Q43" s="163" t="s">
        <v>586</v>
      </c>
      <c r="R43" s="163"/>
      <c r="S43" s="162"/>
      <c r="T43" s="158" t="s">
        <v>587</v>
      </c>
      <c r="U43" s="158" t="s">
        <v>234</v>
      </c>
      <c r="V43" s="158"/>
      <c r="W43" s="158" t="s">
        <v>285</v>
      </c>
      <c r="X43" s="158" t="s">
        <v>150</v>
      </c>
      <c r="Y43" s="164">
        <v>45001.746249999997</v>
      </c>
      <c r="Z43" s="165"/>
      <c r="AA43" s="181"/>
      <c r="AB43" s="184">
        <f>VLOOKUP(D43,원가정보3!$E$5:$I$1048576,5,0)</f>
        <v>475.20000000000005</v>
      </c>
      <c r="AC43" s="184">
        <f t="shared" si="1"/>
        <v>31838.400000000001</v>
      </c>
      <c r="AD43" s="96"/>
    </row>
    <row r="44" spans="1:30" s="4" customFormat="1" outlineLevel="1">
      <c r="A44" s="158" t="s">
        <v>588</v>
      </c>
      <c r="B44" s="158"/>
      <c r="C44" s="159">
        <v>1</v>
      </c>
      <c r="D44" s="158" t="s">
        <v>335</v>
      </c>
      <c r="E44" s="158">
        <v>310</v>
      </c>
      <c r="F44" s="158" t="s">
        <v>189</v>
      </c>
      <c r="G44" s="158" t="s">
        <v>257</v>
      </c>
      <c r="H44" s="158" t="s">
        <v>336</v>
      </c>
      <c r="I44" s="158" t="s">
        <v>192</v>
      </c>
      <c r="J44" s="158" t="s">
        <v>258</v>
      </c>
      <c r="K44" s="158" t="s">
        <v>337</v>
      </c>
      <c r="L44" s="158" t="s">
        <v>173</v>
      </c>
      <c r="M44" s="158"/>
      <c r="N44" s="158"/>
      <c r="O44" s="166">
        <f>ROUNDUP(10+'사양 입력'!$C$14/1000,0)</f>
        <v>61</v>
      </c>
      <c r="P44" s="162"/>
      <c r="Q44" s="163" t="s">
        <v>589</v>
      </c>
      <c r="R44" s="163"/>
      <c r="S44" s="162"/>
      <c r="T44" s="158" t="s">
        <v>339</v>
      </c>
      <c r="U44" s="158" t="s">
        <v>303</v>
      </c>
      <c r="V44" s="158"/>
      <c r="W44" s="158" t="s">
        <v>285</v>
      </c>
      <c r="X44" s="158" t="s">
        <v>150</v>
      </c>
      <c r="Y44" s="164">
        <v>45001.746249999997</v>
      </c>
      <c r="Z44" s="165"/>
      <c r="AA44" s="181"/>
      <c r="AB44" s="184">
        <f>VLOOKUP(D44,원가정보3!$E$5:$I$1048576,5,0)</f>
        <v>3688.3</v>
      </c>
      <c r="AC44" s="184">
        <f t="shared" si="1"/>
        <v>224986.30000000002</v>
      </c>
      <c r="AD44" s="96"/>
    </row>
    <row r="45" spans="1:30" s="4" customFormat="1" outlineLevel="1">
      <c r="A45" s="158" t="s">
        <v>590</v>
      </c>
      <c r="B45" s="158"/>
      <c r="C45" s="159">
        <v>1</v>
      </c>
      <c r="D45" s="158" t="s">
        <v>341</v>
      </c>
      <c r="E45" s="158">
        <v>320</v>
      </c>
      <c r="F45" s="158" t="s">
        <v>189</v>
      </c>
      <c r="G45" s="158" t="s">
        <v>257</v>
      </c>
      <c r="H45" s="158" t="s">
        <v>342</v>
      </c>
      <c r="I45" s="158" t="s">
        <v>192</v>
      </c>
      <c r="J45" s="158" t="s">
        <v>258</v>
      </c>
      <c r="K45" s="158" t="s">
        <v>343</v>
      </c>
      <c r="L45" s="158" t="s">
        <v>173</v>
      </c>
      <c r="M45" s="158"/>
      <c r="N45" s="158"/>
      <c r="O45" s="166">
        <f>ROUNDUP(3.5*'사양 입력'!$C$7,0)</f>
        <v>53</v>
      </c>
      <c r="P45" s="162"/>
      <c r="Q45" s="163" t="s">
        <v>591</v>
      </c>
      <c r="R45" s="163"/>
      <c r="S45" s="162"/>
      <c r="T45" s="158" t="s">
        <v>345</v>
      </c>
      <c r="U45" s="158" t="s">
        <v>234</v>
      </c>
      <c r="V45" s="158"/>
      <c r="W45" s="158" t="s">
        <v>285</v>
      </c>
      <c r="X45" s="158" t="s">
        <v>150</v>
      </c>
      <c r="Y45" s="164">
        <v>45001.746249999997</v>
      </c>
      <c r="Z45" s="165"/>
      <c r="AA45" s="181"/>
      <c r="AB45" s="184">
        <f>VLOOKUP(D45,원가정보3!$E$5:$I$1048576,5,0)</f>
        <v>1019.7</v>
      </c>
      <c r="AC45" s="184">
        <f t="shared" si="1"/>
        <v>54044.100000000006</v>
      </c>
      <c r="AD45" s="96"/>
    </row>
    <row r="46" spans="1:30" s="4" customFormat="1" ht="69.599999999999994" outlineLevel="1">
      <c r="A46" s="158" t="s">
        <v>592</v>
      </c>
      <c r="B46" s="158"/>
      <c r="C46" s="159">
        <v>1</v>
      </c>
      <c r="D46" s="158" t="s">
        <v>347</v>
      </c>
      <c r="E46" s="158">
        <v>330</v>
      </c>
      <c r="F46" s="158" t="s">
        <v>189</v>
      </c>
      <c r="G46" s="158" t="s">
        <v>257</v>
      </c>
      <c r="H46" s="158" t="s">
        <v>348</v>
      </c>
      <c r="I46" s="158" t="s">
        <v>192</v>
      </c>
      <c r="J46" s="158" t="s">
        <v>258</v>
      </c>
      <c r="K46" s="158" t="s">
        <v>349</v>
      </c>
      <c r="L46" s="158" t="s">
        <v>173</v>
      </c>
      <c r="M46" s="158"/>
      <c r="N46" s="158"/>
      <c r="O46" s="166">
        <f>ROUNDUP(2+8+8+0.5*'사양 입력'!$C$7,0)</f>
        <v>26</v>
      </c>
      <c r="P46" s="162"/>
      <c r="Q46" s="163" t="s">
        <v>593</v>
      </c>
      <c r="R46" s="163"/>
      <c r="S46" s="162"/>
      <c r="T46" s="158" t="s">
        <v>351</v>
      </c>
      <c r="U46" s="158" t="s">
        <v>303</v>
      </c>
      <c r="V46" s="158"/>
      <c r="W46" s="158" t="s">
        <v>285</v>
      </c>
      <c r="X46" s="158" t="s">
        <v>150</v>
      </c>
      <c r="Y46" s="164">
        <v>45001.746249999997</v>
      </c>
      <c r="Z46" s="165"/>
      <c r="AA46" s="181"/>
      <c r="AB46" s="184">
        <f>VLOOKUP(D46,원가정보3!$E$5:$I$1048576,5,0)</f>
        <v>774.40000000000009</v>
      </c>
      <c r="AC46" s="184">
        <f t="shared" si="1"/>
        <v>20134.400000000001</v>
      </c>
      <c r="AD46" s="96"/>
    </row>
    <row r="47" spans="1:30" s="4" customFormat="1" outlineLevel="1">
      <c r="A47" s="158" t="s">
        <v>594</v>
      </c>
      <c r="B47" s="158"/>
      <c r="C47" s="159">
        <v>1</v>
      </c>
      <c r="D47" s="160" t="str">
        <f>IF('사양 입력'!$K$13="UTP 내장형","HX00058CH1100",IF('사양 입력'!$K$13="A/C 동력선 내장형","HX00058CH1300","HX00058CH0900"))</f>
        <v>HX00058CH0900</v>
      </c>
      <c r="E47" s="158">
        <v>340</v>
      </c>
      <c r="F47" s="158" t="s">
        <v>189</v>
      </c>
      <c r="G47" s="158" t="s">
        <v>257</v>
      </c>
      <c r="H47" s="158" t="s">
        <v>353</v>
      </c>
      <c r="I47" s="158" t="s">
        <v>192</v>
      </c>
      <c r="J47" s="158" t="s">
        <v>258</v>
      </c>
      <c r="K47" s="158" t="s">
        <v>354</v>
      </c>
      <c r="L47" s="158" t="s">
        <v>173</v>
      </c>
      <c r="M47" s="158"/>
      <c r="N47" s="158"/>
      <c r="O47" s="166">
        <f>ROUNDUP(12+('사양 입력'!$C$11+'사양 입력'!$C$12+'사양 입력'!$C$13*2)/1000,0)</f>
        <v>64</v>
      </c>
      <c r="P47" s="162"/>
      <c r="Q47" s="163" t="s">
        <v>595</v>
      </c>
      <c r="R47" s="163"/>
      <c r="S47" s="162"/>
      <c r="T47" s="158" t="s">
        <v>356</v>
      </c>
      <c r="U47" s="158" t="s">
        <v>357</v>
      </c>
      <c r="V47" s="158"/>
      <c r="W47" s="158" t="s">
        <v>285</v>
      </c>
      <c r="X47" s="158" t="s">
        <v>150</v>
      </c>
      <c r="Y47" s="164">
        <v>45001.746249999997</v>
      </c>
      <c r="Z47" s="165"/>
      <c r="AA47" s="181"/>
      <c r="AB47" s="184">
        <f>VLOOKUP(D47,원가정보3!$E$5:$I$1048576,5,0)</f>
        <v>8928.7000000000007</v>
      </c>
      <c r="AC47" s="184">
        <f t="shared" si="1"/>
        <v>571436.80000000005</v>
      </c>
      <c r="AD47" s="96"/>
    </row>
    <row r="48" spans="1:30" s="4" customFormat="1" outlineLevel="1">
      <c r="A48" s="158"/>
      <c r="B48" s="158"/>
      <c r="C48" s="482">
        <v>1</v>
      </c>
      <c r="D48" s="160" t="str">
        <f>IF('사양 입력'!$K$15="별도형","HX00058CH1200","")</f>
        <v/>
      </c>
      <c r="E48" s="483">
        <v>840</v>
      </c>
      <c r="F48" s="483">
        <v>2</v>
      </c>
      <c r="G48" s="483" t="s">
        <v>2445</v>
      </c>
      <c r="H48" s="483"/>
      <c r="I48" s="158" t="s">
        <v>192</v>
      </c>
      <c r="J48" s="158" t="s">
        <v>258</v>
      </c>
      <c r="K48" s="483" t="s">
        <v>354</v>
      </c>
      <c r="L48" s="483" t="s">
        <v>202</v>
      </c>
      <c r="M48" s="483"/>
      <c r="N48" s="483"/>
      <c r="O48" s="166">
        <f>ROUNDUP(12+('사양 입력'!$C$11+'사양 입력'!$C$12+'사양 입력'!$C$13*2)/1000,0)</f>
        <v>64</v>
      </c>
      <c r="P48" s="484"/>
      <c r="Q48" s="485" t="s">
        <v>2446</v>
      </c>
      <c r="R48" s="485"/>
      <c r="S48" s="484"/>
      <c r="T48" s="483" t="s">
        <v>2444</v>
      </c>
      <c r="U48" s="158" t="s">
        <v>357</v>
      </c>
      <c r="V48" s="158"/>
      <c r="W48" s="158" t="s">
        <v>362</v>
      </c>
      <c r="X48" s="158"/>
      <c r="Y48" s="164"/>
      <c r="Z48" s="165"/>
      <c r="AA48" s="181"/>
      <c r="AB48" s="184">
        <f>IFERROR(VLOOKUP(D48,원가정보3!$E$5:$I$1048576,5,0),0)</f>
        <v>0</v>
      </c>
      <c r="AC48" s="184">
        <f t="shared" si="1"/>
        <v>0</v>
      </c>
      <c r="AD48" s="3"/>
    </row>
    <row r="49" spans="1:30" s="4" customFormat="1" outlineLevel="1">
      <c r="A49" s="158"/>
      <c r="B49" s="158"/>
      <c r="C49" s="333">
        <v>1</v>
      </c>
      <c r="D49" s="334" t="str">
        <f>IF(OR('사양 입력'!K14="RG59",'사양 입력'!K14="RG59+CLIP"),"HX058019H0100",IF(OR('사양 입력'!K14="UTP",'사양 입력'!K14="UTP+CLIP"),"R62100000210A",""))</f>
        <v/>
      </c>
      <c r="E49" s="335">
        <v>340</v>
      </c>
      <c r="F49" s="335" t="s">
        <v>189</v>
      </c>
      <c r="G49" s="335" t="s">
        <v>596</v>
      </c>
      <c r="H49" s="335" t="s">
        <v>359</v>
      </c>
      <c r="I49" s="335" t="s">
        <v>192</v>
      </c>
      <c r="J49" s="335" t="s">
        <v>258</v>
      </c>
      <c r="K49" s="335" t="s">
        <v>360</v>
      </c>
      <c r="L49" s="335" t="s">
        <v>202</v>
      </c>
      <c r="M49" s="335"/>
      <c r="N49" s="335"/>
      <c r="O49" s="340" t="str">
        <f>IF(OR('사양 입력'!K14="RG59",'사양 입력'!K14="RG59+CLIP",'사양 입력'!K14="UTP+CLIP",'사양 입력'!K14="RG59",'사양 입력'!K14="UTP"),ROUNDUP(('사양 입력'!$C$14+3000)/1000,0),"0")</f>
        <v>0</v>
      </c>
      <c r="P49" s="336"/>
      <c r="Q49" s="337" t="s">
        <v>597</v>
      </c>
      <c r="R49" s="337"/>
      <c r="S49" s="336"/>
      <c r="T49" s="335" t="s">
        <v>113</v>
      </c>
      <c r="U49" s="158"/>
      <c r="V49" s="158"/>
      <c r="W49" s="158"/>
      <c r="X49" s="158" t="s">
        <v>224</v>
      </c>
      <c r="Y49" s="158"/>
      <c r="Z49" s="184"/>
      <c r="AA49" s="184"/>
      <c r="AB49" s="184">
        <f>IFERROR(VLOOKUP(D49,원가정보3!$E$5:$I$1048576,5,0),0)</f>
        <v>0</v>
      </c>
      <c r="AC49" s="184">
        <f>AB49*O49</f>
        <v>0</v>
      </c>
      <c r="AD49" s="3" t="s">
        <v>225</v>
      </c>
    </row>
    <row r="50" spans="1:30" s="4" customFormat="1" outlineLevel="1">
      <c r="A50" s="158"/>
      <c r="B50" s="158"/>
      <c r="C50" s="333">
        <v>1</v>
      </c>
      <c r="D50" s="338" t="s">
        <v>364</v>
      </c>
      <c r="E50" s="335">
        <v>650</v>
      </c>
      <c r="F50" s="335" t="s">
        <v>189</v>
      </c>
      <c r="G50" s="335" t="s">
        <v>365</v>
      </c>
      <c r="H50" s="335" t="s">
        <v>366</v>
      </c>
      <c r="I50" s="335" t="s">
        <v>192</v>
      </c>
      <c r="J50" s="335" t="s">
        <v>258</v>
      </c>
      <c r="K50" s="335" t="s">
        <v>367</v>
      </c>
      <c r="L50" s="335" t="s">
        <v>202</v>
      </c>
      <c r="M50" s="335"/>
      <c r="N50" s="335"/>
      <c r="O50" s="340" t="str">
        <f>IF('사양 입력'!K14="RG59+CLIP",ROUNDUP((('사양 입력'!$C$13*2+'사양 입력'!$C$12/2)/1000)/0.45,0),IF('사양 입력'!K14="UTP+CLIP",ROUNDUP((('사양 입력'!$C$13*2+'사양 입력'!$C$12/2)/1000)/0.45,0),"0"))</f>
        <v>0</v>
      </c>
      <c r="P50" s="336"/>
      <c r="Q50" s="337"/>
      <c r="R50" s="337"/>
      <c r="S50" s="336"/>
      <c r="T50" s="335" t="s">
        <v>368</v>
      </c>
      <c r="U50" s="158"/>
      <c r="V50" s="158"/>
      <c r="W50" s="158"/>
      <c r="X50" s="158" t="s">
        <v>224</v>
      </c>
      <c r="Y50" s="158"/>
      <c r="Z50" s="184"/>
      <c r="AA50" s="184"/>
      <c r="AB50" s="184">
        <f>IFERROR(VLOOKUP(D50,원가정보3!$E$5:$I$1048576,5,0),0)</f>
        <v>541.20000000000005</v>
      </c>
      <c r="AC50" s="184">
        <f>AB50*O50</f>
        <v>0</v>
      </c>
      <c r="AD50" s="3" t="s">
        <v>225</v>
      </c>
    </row>
    <row r="51" spans="1:30" s="4" customFormat="1" outlineLevel="1">
      <c r="A51" s="158"/>
      <c r="B51" s="158"/>
      <c r="C51" s="159">
        <v>1</v>
      </c>
      <c r="D51" s="160" t="s">
        <v>370</v>
      </c>
      <c r="E51" s="158"/>
      <c r="F51" s="158"/>
      <c r="G51" s="158" t="s">
        <v>371</v>
      </c>
      <c r="H51" s="158" t="s">
        <v>372</v>
      </c>
      <c r="I51" s="158" t="s">
        <v>373</v>
      </c>
      <c r="J51" s="158"/>
      <c r="K51" s="158"/>
      <c r="L51" s="158"/>
      <c r="M51" s="158"/>
      <c r="N51" s="158"/>
      <c r="O51" s="166">
        <f>'사양 입력'!K10</f>
        <v>0</v>
      </c>
      <c r="P51" s="162"/>
      <c r="Q51" s="163" t="s">
        <v>374</v>
      </c>
      <c r="R51" s="163"/>
      <c r="S51" s="162"/>
      <c r="T51" s="158" t="s">
        <v>375</v>
      </c>
      <c r="U51" s="158"/>
      <c r="V51" s="158"/>
      <c r="W51" s="158" t="s">
        <v>369</v>
      </c>
      <c r="X51" s="158" t="s">
        <v>150</v>
      </c>
      <c r="Y51" s="164"/>
      <c r="Z51" s="165"/>
      <c r="AA51" s="181"/>
      <c r="AB51" s="184">
        <f>VLOOKUP(D51,원가정보3!$E$5:$I$1048576,5,0)</f>
        <v>24491</v>
      </c>
      <c r="AC51" s="184">
        <f t="shared" si="1"/>
        <v>0</v>
      </c>
      <c r="AD51" s="96"/>
    </row>
    <row r="52" spans="1:30" s="4" customFormat="1" outlineLevel="1">
      <c r="A52" s="99" t="s">
        <v>598</v>
      </c>
      <c r="B52" s="99"/>
      <c r="C52" s="102">
        <v>1</v>
      </c>
      <c r="D52" s="99" t="s">
        <v>377</v>
      </c>
      <c r="E52" s="99">
        <v>360</v>
      </c>
      <c r="F52" s="99" t="s">
        <v>189</v>
      </c>
      <c r="G52" s="99" t="s">
        <v>378</v>
      </c>
      <c r="H52" s="99" t="s">
        <v>379</v>
      </c>
      <c r="I52" s="99" t="s">
        <v>192</v>
      </c>
      <c r="J52" s="99" t="s">
        <v>193</v>
      </c>
      <c r="K52" s="99" t="s">
        <v>380</v>
      </c>
      <c r="L52" s="99" t="s">
        <v>173</v>
      </c>
      <c r="M52" s="99"/>
      <c r="N52" s="99"/>
      <c r="O52" s="105">
        <v>1</v>
      </c>
      <c r="P52" s="105"/>
      <c r="Q52" s="106"/>
      <c r="R52" s="106"/>
      <c r="S52" s="105"/>
      <c r="T52" s="99" t="s">
        <v>381</v>
      </c>
      <c r="U52" s="99" t="s">
        <v>382</v>
      </c>
      <c r="V52" s="99"/>
      <c r="W52" s="99" t="s">
        <v>197</v>
      </c>
      <c r="X52" s="99" t="s">
        <v>150</v>
      </c>
      <c r="Y52" s="114">
        <v>45001.746249999997</v>
      </c>
      <c r="Z52" s="115"/>
      <c r="AA52" s="180"/>
      <c r="AB52" s="101">
        <f>VLOOKUP(D52,원가정보3!$E$5:$I$1048576,5,0)</f>
        <v>75522</v>
      </c>
      <c r="AC52" s="101">
        <f t="shared" si="1"/>
        <v>75522</v>
      </c>
      <c r="AD52" s="96"/>
    </row>
    <row r="53" spans="1:30" s="4" customFormat="1" outlineLevel="1">
      <c r="A53" s="99" t="s">
        <v>599</v>
      </c>
      <c r="B53" s="99"/>
      <c r="C53" s="102">
        <v>1</v>
      </c>
      <c r="D53" s="99" t="s">
        <v>600</v>
      </c>
      <c r="E53" s="99">
        <v>370</v>
      </c>
      <c r="F53" s="99" t="s">
        <v>189</v>
      </c>
      <c r="G53" s="99" t="s">
        <v>385</v>
      </c>
      <c r="H53" s="99" t="s">
        <v>386</v>
      </c>
      <c r="I53" s="99" t="s">
        <v>192</v>
      </c>
      <c r="J53" s="99" t="s">
        <v>193</v>
      </c>
      <c r="K53" s="99" t="s">
        <v>387</v>
      </c>
      <c r="L53" s="99" t="s">
        <v>173</v>
      </c>
      <c r="M53" s="99"/>
      <c r="N53" s="99"/>
      <c r="O53" s="105">
        <v>2</v>
      </c>
      <c r="P53" s="105"/>
      <c r="Q53" s="106"/>
      <c r="R53" s="106"/>
      <c r="S53" s="105"/>
      <c r="T53" s="99" t="s">
        <v>388</v>
      </c>
      <c r="U53" s="99" t="s">
        <v>389</v>
      </c>
      <c r="V53" s="99"/>
      <c r="W53" s="99" t="s">
        <v>197</v>
      </c>
      <c r="X53" s="99" t="s">
        <v>150</v>
      </c>
      <c r="Y53" s="114">
        <v>45001.746249999997</v>
      </c>
      <c r="Z53" s="115"/>
      <c r="AA53" s="180"/>
      <c r="AB53" s="101">
        <f>VLOOKUP(D53,원가정보3!$E$5:$I$1048576,5,0)</f>
        <v>669.90000000000009</v>
      </c>
      <c r="AC53" s="101">
        <f t="shared" si="1"/>
        <v>1339.8000000000002</v>
      </c>
      <c r="AD53" s="96"/>
    </row>
    <row r="54" spans="1:30" s="4" customFormat="1" outlineLevel="1">
      <c r="A54" s="99" t="s">
        <v>601</v>
      </c>
      <c r="B54" s="99"/>
      <c r="C54" s="102">
        <v>1</v>
      </c>
      <c r="D54" s="99" t="s">
        <v>391</v>
      </c>
      <c r="E54" s="99">
        <v>380</v>
      </c>
      <c r="F54" s="99" t="s">
        <v>189</v>
      </c>
      <c r="G54" s="99" t="s">
        <v>392</v>
      </c>
      <c r="H54" s="99" t="s">
        <v>393</v>
      </c>
      <c r="I54" s="99" t="s">
        <v>192</v>
      </c>
      <c r="J54" s="99" t="s">
        <v>193</v>
      </c>
      <c r="K54" s="99" t="s">
        <v>394</v>
      </c>
      <c r="L54" s="99" t="s">
        <v>173</v>
      </c>
      <c r="M54" s="99"/>
      <c r="N54" s="99"/>
      <c r="O54" s="105">
        <v>1</v>
      </c>
      <c r="P54" s="105"/>
      <c r="Q54" s="106"/>
      <c r="R54" s="106"/>
      <c r="S54" s="105"/>
      <c r="T54" s="99" t="s">
        <v>395</v>
      </c>
      <c r="U54" s="99" t="s">
        <v>396</v>
      </c>
      <c r="V54" s="99"/>
      <c r="W54" s="99" t="s">
        <v>197</v>
      </c>
      <c r="X54" s="99" t="s">
        <v>150</v>
      </c>
      <c r="Y54" s="114">
        <v>45001.746249999997</v>
      </c>
      <c r="Z54" s="115"/>
      <c r="AA54" s="180"/>
      <c r="AB54" s="101">
        <f>VLOOKUP(D54,원가정보3!$E$5:$I$1048576,5,0)</f>
        <v>20097</v>
      </c>
      <c r="AC54" s="101">
        <f t="shared" si="1"/>
        <v>20097</v>
      </c>
      <c r="AD54" s="96"/>
    </row>
    <row r="55" spans="1:30" s="4" customFormat="1" outlineLevel="1">
      <c r="A55" s="99" t="s">
        <v>397</v>
      </c>
      <c r="B55" s="99"/>
      <c r="C55" s="102">
        <v>1</v>
      </c>
      <c r="D55" s="99" t="s">
        <v>398</v>
      </c>
      <c r="E55" s="99">
        <v>1790</v>
      </c>
      <c r="F55" s="99" t="s">
        <v>189</v>
      </c>
      <c r="G55" s="99" t="s">
        <v>399</v>
      </c>
      <c r="H55" s="99" t="s">
        <v>400</v>
      </c>
      <c r="I55" s="99" t="s">
        <v>192</v>
      </c>
      <c r="J55" s="99" t="s">
        <v>401</v>
      </c>
      <c r="K55" s="99" t="s">
        <v>402</v>
      </c>
      <c r="L55" s="99" t="s">
        <v>173</v>
      </c>
      <c r="M55" s="99"/>
      <c r="N55" s="99"/>
      <c r="O55" s="105">
        <v>1</v>
      </c>
      <c r="P55" s="105"/>
      <c r="Q55" s="106"/>
      <c r="R55" s="106"/>
      <c r="S55" s="105"/>
      <c r="T55" s="99" t="s">
        <v>403</v>
      </c>
      <c r="U55" s="99" t="s">
        <v>404</v>
      </c>
      <c r="V55" s="99"/>
      <c r="W55" s="99" t="s">
        <v>197</v>
      </c>
      <c r="X55" s="99" t="s">
        <v>150</v>
      </c>
      <c r="Y55" s="99"/>
      <c r="Z55" s="101"/>
      <c r="AA55" s="98"/>
      <c r="AB55" s="101">
        <f>VLOOKUP(D55,원가정보3!$E$5:$I$1048576,5,0)</f>
        <v>6922.3</v>
      </c>
      <c r="AC55" s="101">
        <f t="shared" si="1"/>
        <v>6922.3</v>
      </c>
    </row>
    <row r="56" spans="1:30" s="4" customFormat="1" outlineLevel="1">
      <c r="A56" s="99" t="s">
        <v>602</v>
      </c>
      <c r="B56" s="99"/>
      <c r="C56" s="102">
        <v>1</v>
      </c>
      <c r="D56" s="99" t="s">
        <v>406</v>
      </c>
      <c r="E56" s="99">
        <v>390</v>
      </c>
      <c r="F56" s="99" t="s">
        <v>189</v>
      </c>
      <c r="G56" s="99" t="s">
        <v>407</v>
      </c>
      <c r="H56" s="99" t="s">
        <v>408</v>
      </c>
      <c r="I56" s="99" t="s">
        <v>192</v>
      </c>
      <c r="J56" s="99" t="s">
        <v>401</v>
      </c>
      <c r="K56" s="99" t="s">
        <v>402</v>
      </c>
      <c r="L56" s="99" t="s">
        <v>173</v>
      </c>
      <c r="M56" s="99"/>
      <c r="N56" s="99"/>
      <c r="O56" s="105">
        <v>1</v>
      </c>
      <c r="P56" s="105"/>
      <c r="Q56" s="106"/>
      <c r="R56" s="106"/>
      <c r="S56" s="105"/>
      <c r="T56" s="99" t="s">
        <v>409</v>
      </c>
      <c r="U56" s="99" t="s">
        <v>410</v>
      </c>
      <c r="V56" s="99"/>
      <c r="W56" s="99" t="s">
        <v>197</v>
      </c>
      <c r="X56" s="99" t="s">
        <v>150</v>
      </c>
      <c r="Y56" s="114">
        <v>45001.746249999997</v>
      </c>
      <c r="Z56" s="115"/>
      <c r="AA56" s="180"/>
      <c r="AB56" s="101">
        <f>VLOOKUP(D56,원가정보3!$E$5:$I$1048576,5,0)</f>
        <v>6140.2000000000007</v>
      </c>
      <c r="AC56" s="101">
        <f t="shared" si="1"/>
        <v>6140.2000000000007</v>
      </c>
      <c r="AD56" s="96"/>
    </row>
    <row r="57" spans="1:30" s="4" customFormat="1" outlineLevel="1">
      <c r="A57" s="99" t="s">
        <v>603</v>
      </c>
      <c r="B57" s="99"/>
      <c r="C57" s="102">
        <v>1</v>
      </c>
      <c r="D57" s="99" t="s">
        <v>412</v>
      </c>
      <c r="E57" s="99">
        <v>400</v>
      </c>
      <c r="F57" s="99" t="s">
        <v>189</v>
      </c>
      <c r="G57" s="99" t="s">
        <v>413</v>
      </c>
      <c r="H57" s="99" t="s">
        <v>414</v>
      </c>
      <c r="I57" s="99" t="s">
        <v>192</v>
      </c>
      <c r="J57" s="99" t="s">
        <v>193</v>
      </c>
      <c r="K57" s="99" t="s">
        <v>415</v>
      </c>
      <c r="L57" s="99" t="s">
        <v>173</v>
      </c>
      <c r="M57" s="99"/>
      <c r="N57" s="99"/>
      <c r="O57" s="105">
        <v>1</v>
      </c>
      <c r="P57" s="105"/>
      <c r="Q57" s="106"/>
      <c r="R57" s="106"/>
      <c r="S57" s="105"/>
      <c r="T57" s="99" t="s">
        <v>416</v>
      </c>
      <c r="U57" s="99" t="s">
        <v>417</v>
      </c>
      <c r="V57" s="99"/>
      <c r="W57" s="99" t="s">
        <v>197</v>
      </c>
      <c r="X57" s="99" t="s">
        <v>150</v>
      </c>
      <c r="Y57" s="114">
        <v>45001.746249999997</v>
      </c>
      <c r="Z57" s="115"/>
      <c r="AA57" s="180"/>
      <c r="AB57" s="101">
        <f>VLOOKUP(D57,원가정보3!$E$5:$I$1048576,5,0)</f>
        <v>12002.1</v>
      </c>
      <c r="AC57" s="101">
        <f t="shared" si="1"/>
        <v>12002.1</v>
      </c>
      <c r="AD57" s="96"/>
    </row>
    <row r="58" spans="1:30" s="4" customFormat="1" outlineLevel="1">
      <c r="A58" s="99" t="s">
        <v>604</v>
      </c>
      <c r="B58" s="99"/>
      <c r="C58" s="102">
        <v>1</v>
      </c>
      <c r="D58" s="99" t="s">
        <v>419</v>
      </c>
      <c r="E58" s="99">
        <v>410</v>
      </c>
      <c r="F58" s="99" t="s">
        <v>189</v>
      </c>
      <c r="G58" s="99" t="s">
        <v>399</v>
      </c>
      <c r="H58" s="99" t="s">
        <v>420</v>
      </c>
      <c r="I58" s="99" t="s">
        <v>192</v>
      </c>
      <c r="J58" s="99" t="s">
        <v>193</v>
      </c>
      <c r="K58" s="99" t="s">
        <v>421</v>
      </c>
      <c r="L58" s="99" t="s">
        <v>173</v>
      </c>
      <c r="M58" s="99"/>
      <c r="N58" s="99"/>
      <c r="O58" s="105">
        <v>1</v>
      </c>
      <c r="P58" s="105"/>
      <c r="Q58" s="106"/>
      <c r="R58" s="106"/>
      <c r="S58" s="105"/>
      <c r="T58" s="99" t="s">
        <v>416</v>
      </c>
      <c r="U58" s="99" t="s">
        <v>422</v>
      </c>
      <c r="V58" s="99"/>
      <c r="W58" s="99" t="s">
        <v>197</v>
      </c>
      <c r="X58" s="99" t="s">
        <v>150</v>
      </c>
      <c r="Y58" s="114">
        <v>45001.746249999997</v>
      </c>
      <c r="Z58" s="115"/>
      <c r="AA58" s="180"/>
      <c r="AB58" s="101">
        <f>VLOOKUP(D58,원가정보3!$E$5:$I$1048576,5,0)</f>
        <v>11499.400000000001</v>
      </c>
      <c r="AC58" s="101">
        <f t="shared" si="1"/>
        <v>11499.400000000001</v>
      </c>
      <c r="AD58" s="96"/>
    </row>
    <row r="59" spans="1:30" s="4" customFormat="1" outlineLevel="1">
      <c r="A59" s="99" t="s">
        <v>605</v>
      </c>
      <c r="B59" s="99"/>
      <c r="C59" s="102">
        <v>1</v>
      </c>
      <c r="D59" s="99" t="s">
        <v>424</v>
      </c>
      <c r="E59" s="99">
        <v>420</v>
      </c>
      <c r="F59" s="99" t="s">
        <v>189</v>
      </c>
      <c r="G59" s="99" t="s">
        <v>413</v>
      </c>
      <c r="H59" s="99" t="s">
        <v>425</v>
      </c>
      <c r="I59" s="99" t="s">
        <v>192</v>
      </c>
      <c r="J59" s="99" t="s">
        <v>193</v>
      </c>
      <c r="K59" s="99" t="s">
        <v>426</v>
      </c>
      <c r="L59" s="99" t="s">
        <v>173</v>
      </c>
      <c r="M59" s="99"/>
      <c r="N59" s="99"/>
      <c r="O59" s="105">
        <v>2</v>
      </c>
      <c r="P59" s="105"/>
      <c r="Q59" s="106"/>
      <c r="R59" s="106"/>
      <c r="S59" s="105"/>
      <c r="T59" s="99" t="s">
        <v>416</v>
      </c>
      <c r="U59" s="99" t="s">
        <v>427</v>
      </c>
      <c r="V59" s="99"/>
      <c r="W59" s="99" t="s">
        <v>197</v>
      </c>
      <c r="X59" s="99" t="s">
        <v>150</v>
      </c>
      <c r="Y59" s="114">
        <v>45001.746249999997</v>
      </c>
      <c r="Z59" s="115"/>
      <c r="AA59" s="180"/>
      <c r="AB59" s="101">
        <f>VLOOKUP(D59,원가정보3!$E$5:$I$1048576,5,0)</f>
        <v>12225.400000000001</v>
      </c>
      <c r="AC59" s="101">
        <f t="shared" si="1"/>
        <v>24450.800000000003</v>
      </c>
      <c r="AD59" s="96"/>
    </row>
    <row r="60" spans="1:30" s="4" customFormat="1" outlineLevel="1">
      <c r="A60" s="99" t="s">
        <v>606</v>
      </c>
      <c r="B60" s="99"/>
      <c r="C60" s="102">
        <v>1</v>
      </c>
      <c r="D60" s="99" t="s">
        <v>607</v>
      </c>
      <c r="E60" s="99">
        <v>430</v>
      </c>
      <c r="F60" s="99" t="s">
        <v>189</v>
      </c>
      <c r="G60" s="99" t="s">
        <v>413</v>
      </c>
      <c r="H60" s="99" t="s">
        <v>430</v>
      </c>
      <c r="I60" s="99" t="s">
        <v>192</v>
      </c>
      <c r="J60" s="99" t="s">
        <v>193</v>
      </c>
      <c r="K60" s="99" t="s">
        <v>431</v>
      </c>
      <c r="L60" s="99" t="s">
        <v>173</v>
      </c>
      <c r="M60" s="99"/>
      <c r="N60" s="99"/>
      <c r="O60" s="107">
        <f>ROUNDUP('사양 입력'!$C$14/5000,0)</f>
        <v>11</v>
      </c>
      <c r="P60" s="105"/>
      <c r="Q60" s="106"/>
      <c r="R60" s="106"/>
      <c r="S60" s="105"/>
      <c r="T60" s="99" t="s">
        <v>416</v>
      </c>
      <c r="U60" s="99" t="s">
        <v>432</v>
      </c>
      <c r="V60" s="99"/>
      <c r="W60" s="99" t="s">
        <v>197</v>
      </c>
      <c r="X60" s="99" t="s">
        <v>150</v>
      </c>
      <c r="Y60" s="114">
        <v>45001.746249999997</v>
      </c>
      <c r="Z60" s="115"/>
      <c r="AA60" s="180"/>
      <c r="AB60" s="101">
        <f>VLOOKUP(D60,원가정보3!$E$5:$I$1048576,5,0)</f>
        <v>12225.400000000001</v>
      </c>
      <c r="AC60" s="101">
        <f t="shared" si="1"/>
        <v>134479.40000000002</v>
      </c>
      <c r="AD60" s="96"/>
    </row>
    <row r="61" spans="1:30" s="4" customFormat="1" outlineLevel="1">
      <c r="A61" s="99" t="s">
        <v>608</v>
      </c>
      <c r="B61" s="99"/>
      <c r="C61" s="102">
        <v>1</v>
      </c>
      <c r="D61" s="99" t="s">
        <v>434</v>
      </c>
      <c r="E61" s="99">
        <v>440</v>
      </c>
      <c r="F61" s="99" t="s">
        <v>189</v>
      </c>
      <c r="G61" s="99" t="s">
        <v>435</v>
      </c>
      <c r="H61" s="99" t="s">
        <v>436</v>
      </c>
      <c r="I61" s="99" t="s">
        <v>192</v>
      </c>
      <c r="J61" s="99" t="s">
        <v>193</v>
      </c>
      <c r="K61" s="99" t="s">
        <v>437</v>
      </c>
      <c r="L61" s="99" t="s">
        <v>173</v>
      </c>
      <c r="M61" s="99"/>
      <c r="N61" s="99"/>
      <c r="O61" s="105">
        <v>1</v>
      </c>
      <c r="P61" s="105"/>
      <c r="Q61" s="106"/>
      <c r="R61" s="106"/>
      <c r="S61" s="105"/>
      <c r="T61" s="99" t="s">
        <v>438</v>
      </c>
      <c r="U61" s="99" t="s">
        <v>234</v>
      </c>
      <c r="V61" s="99"/>
      <c r="W61" s="99" t="s">
        <v>197</v>
      </c>
      <c r="X61" s="99" t="s">
        <v>150</v>
      </c>
      <c r="Y61" s="114">
        <v>45001.746249999997</v>
      </c>
      <c r="Z61" s="115"/>
      <c r="AA61" s="180"/>
      <c r="AB61" s="101">
        <f>VLOOKUP(D61,원가정보3!$E$5:$I$1048576,5,0)</f>
        <v>22330</v>
      </c>
      <c r="AC61" s="101">
        <f t="shared" si="1"/>
        <v>22330</v>
      </c>
      <c r="AD61" s="96"/>
    </row>
    <row r="62" spans="1:30" s="4" customFormat="1" outlineLevel="1">
      <c r="A62" s="141" t="s">
        <v>439</v>
      </c>
      <c r="B62" s="141"/>
      <c r="C62" s="142">
        <v>1</v>
      </c>
      <c r="D62" s="143" t="str">
        <f>IF('사양 입력'!$G$9="NO","28610048G0200","28610053G0200")</f>
        <v>28610048G0200</v>
      </c>
      <c r="E62" s="141">
        <v>2070</v>
      </c>
      <c r="F62" s="141" t="s">
        <v>189</v>
      </c>
      <c r="G62" s="141" t="s">
        <v>440</v>
      </c>
      <c r="H62" s="144" t="str">
        <f>LEFT(D62,11)</f>
        <v>28610048G02</v>
      </c>
      <c r="I62" s="141" t="s">
        <v>192</v>
      </c>
      <c r="J62" s="141" t="s">
        <v>193</v>
      </c>
      <c r="K62" s="141" t="s">
        <v>441</v>
      </c>
      <c r="L62" s="141" t="s">
        <v>173</v>
      </c>
      <c r="M62" s="141"/>
      <c r="N62" s="141"/>
      <c r="O62" s="145">
        <v>1</v>
      </c>
      <c r="P62" s="145"/>
      <c r="Q62" s="146"/>
      <c r="R62" s="146"/>
      <c r="S62" s="145"/>
      <c r="T62" s="141" t="s">
        <v>609</v>
      </c>
      <c r="U62" s="141" t="s">
        <v>443</v>
      </c>
      <c r="V62" s="141"/>
      <c r="W62" s="141" t="s">
        <v>197</v>
      </c>
      <c r="X62" s="141" t="s">
        <v>150</v>
      </c>
      <c r="Y62" s="167">
        <v>44964.611458333333</v>
      </c>
      <c r="Z62" s="168"/>
      <c r="AA62" s="182"/>
      <c r="AB62" s="147">
        <f>VLOOKUP(D62,원가정보3!$E$5:$I$1048576,5,0)</f>
        <v>358061</v>
      </c>
      <c r="AC62" s="147">
        <f t="shared" si="1"/>
        <v>358061</v>
      </c>
      <c r="AD62" s="96"/>
    </row>
    <row r="63" spans="1:30" s="4" customFormat="1" outlineLevel="1">
      <c r="A63" s="99"/>
      <c r="B63" s="99"/>
      <c r="C63" s="102"/>
      <c r="D63" s="103" t="s">
        <v>444</v>
      </c>
      <c r="E63" s="99"/>
      <c r="F63" s="99"/>
      <c r="G63" s="99" t="s">
        <v>445</v>
      </c>
      <c r="H63" s="99" t="s">
        <v>446</v>
      </c>
      <c r="I63" s="99"/>
      <c r="J63" s="99"/>
      <c r="K63" s="99"/>
      <c r="L63" s="99"/>
      <c r="M63" s="99"/>
      <c r="N63" s="99"/>
      <c r="O63" s="105">
        <v>1</v>
      </c>
      <c r="P63" s="105"/>
      <c r="Q63" s="106"/>
      <c r="R63" s="106"/>
      <c r="S63" s="105"/>
      <c r="T63" s="99"/>
      <c r="U63" s="99"/>
      <c r="V63" s="99"/>
      <c r="W63" s="99"/>
      <c r="X63" s="99" t="s">
        <v>150</v>
      </c>
      <c r="Y63" s="114"/>
      <c r="Z63" s="115"/>
      <c r="AA63" s="180"/>
      <c r="AB63" s="101">
        <f>VLOOKUP(D63,원가정보3!$E$5:$I$1048576,5,0)</f>
        <v>27347.100000000002</v>
      </c>
      <c r="AC63" s="101">
        <f t="shared" si="1"/>
        <v>27347.100000000002</v>
      </c>
      <c r="AD63" s="96"/>
    </row>
    <row r="64" spans="1:30">
      <c r="A64" s="109"/>
      <c r="B64" s="109"/>
      <c r="C64" s="109"/>
      <c r="D64" s="99" t="s">
        <v>447</v>
      </c>
      <c r="E64" s="109"/>
      <c r="F64" s="109"/>
      <c r="G64" s="99" t="s">
        <v>448</v>
      </c>
      <c r="H64" s="103" t="str">
        <f>LEFT(D64,11)</f>
        <v>25910179G01</v>
      </c>
      <c r="I64" s="109"/>
      <c r="J64" s="109"/>
      <c r="K64" s="109"/>
      <c r="L64" s="99" t="s">
        <v>173</v>
      </c>
      <c r="M64" s="109"/>
      <c r="N64" s="109"/>
      <c r="O64" s="110">
        <f>'사양 입력'!$C$7</f>
        <v>15</v>
      </c>
      <c r="P64" s="109"/>
      <c r="Q64" s="109"/>
      <c r="R64" s="109"/>
      <c r="S64" s="109"/>
      <c r="T64" s="109"/>
      <c r="U64" s="109"/>
      <c r="V64" s="109"/>
      <c r="W64" s="109"/>
      <c r="X64" s="109" t="s">
        <v>150</v>
      </c>
      <c r="Y64" s="109"/>
      <c r="Z64" s="109"/>
      <c r="AA64" s="183"/>
      <c r="AB64" s="101">
        <f>VLOOKUP(D64,원가정보3!$E$5:$I$1048576,5,0)</f>
        <v>6956.4000000000005</v>
      </c>
      <c r="AC64" s="101">
        <f t="shared" si="1"/>
        <v>104346.00000000001</v>
      </c>
    </row>
    <row r="65" spans="1:30">
      <c r="A65" s="109"/>
      <c r="B65" s="109"/>
      <c r="C65" s="109"/>
      <c r="D65" s="99" t="s">
        <v>449</v>
      </c>
      <c r="E65" s="109"/>
      <c r="F65" s="109"/>
      <c r="G65" s="99" t="s">
        <v>450</v>
      </c>
      <c r="H65" s="103" t="str">
        <f>LEFT(D65,11)</f>
        <v>25910180G02</v>
      </c>
      <c r="I65" s="109"/>
      <c r="J65" s="109"/>
      <c r="K65" s="109"/>
      <c r="L65" s="99" t="s">
        <v>173</v>
      </c>
      <c r="M65" s="109"/>
      <c r="N65" s="109"/>
      <c r="O65" s="105">
        <v>1</v>
      </c>
      <c r="P65" s="109"/>
      <c r="Q65" s="109"/>
      <c r="R65" s="109"/>
      <c r="S65" s="109"/>
      <c r="T65" s="109"/>
      <c r="U65" s="109"/>
      <c r="V65" s="109"/>
      <c r="W65" s="109"/>
      <c r="X65" s="109" t="s">
        <v>150</v>
      </c>
      <c r="Y65" s="109"/>
      <c r="Z65" s="109"/>
      <c r="AA65" s="183"/>
      <c r="AB65" s="101">
        <f>VLOOKUP(D65,원가정보3!$E$5:$I$1048576,5,0)</f>
        <v>41310.5</v>
      </c>
      <c r="AC65" s="101">
        <f t="shared" si="1"/>
        <v>41310.5</v>
      </c>
    </row>
    <row r="66" spans="1:30" s="4" customFormat="1" outlineLevel="1">
      <c r="A66" s="99" t="s">
        <v>451</v>
      </c>
      <c r="B66" s="99"/>
      <c r="C66" s="102">
        <v>1</v>
      </c>
      <c r="D66" s="99" t="s">
        <v>610</v>
      </c>
      <c r="E66" s="99">
        <v>440</v>
      </c>
      <c r="F66" s="99" t="s">
        <v>189</v>
      </c>
      <c r="G66" s="99" t="s">
        <v>611</v>
      </c>
      <c r="H66" s="99" t="s">
        <v>454</v>
      </c>
      <c r="I66" s="99" t="s">
        <v>192</v>
      </c>
      <c r="J66" s="99" t="s">
        <v>193</v>
      </c>
      <c r="K66" s="99" t="s">
        <v>455</v>
      </c>
      <c r="L66" s="99" t="s">
        <v>173</v>
      </c>
      <c r="M66" s="99"/>
      <c r="N66" s="99">
        <v>1</v>
      </c>
      <c r="O66" s="105">
        <v>1</v>
      </c>
      <c r="P66" s="105"/>
      <c r="Q66" s="106"/>
      <c r="R66" s="106"/>
      <c r="S66" s="105"/>
      <c r="T66" s="99" t="s">
        <v>456</v>
      </c>
      <c r="U66" s="99" t="s">
        <v>612</v>
      </c>
      <c r="V66" s="99"/>
      <c r="W66" s="99" t="s">
        <v>197</v>
      </c>
      <c r="X66" s="99" t="s">
        <v>150</v>
      </c>
      <c r="Y66" s="114">
        <v>45002.580694444441</v>
      </c>
      <c r="Z66" s="114">
        <v>45002.580694444441</v>
      </c>
      <c r="AA66" s="180"/>
      <c r="AB66" s="101">
        <f>VLOOKUP(D66,원가정보3!$E$5:$I$1048576,5,0)</f>
        <v>21274</v>
      </c>
      <c r="AC66" s="101">
        <f t="shared" si="1"/>
        <v>21274</v>
      </c>
      <c r="AD66" s="96"/>
    </row>
    <row r="67" spans="1:30" s="4" customFormat="1" outlineLevel="1">
      <c r="A67" s="99" t="s">
        <v>458</v>
      </c>
      <c r="B67" s="99"/>
      <c r="C67" s="102">
        <v>1</v>
      </c>
      <c r="D67" s="99" t="s">
        <v>459</v>
      </c>
      <c r="E67" s="99">
        <v>450</v>
      </c>
      <c r="F67" s="99" t="s">
        <v>193</v>
      </c>
      <c r="G67" s="99" t="s">
        <v>460</v>
      </c>
      <c r="H67" s="99" t="s">
        <v>613</v>
      </c>
      <c r="I67" s="99" t="s">
        <v>192</v>
      </c>
      <c r="J67" s="99" t="s">
        <v>285</v>
      </c>
      <c r="K67" s="99" t="s">
        <v>462</v>
      </c>
      <c r="L67" s="99" t="s">
        <v>173</v>
      </c>
      <c r="M67" s="99"/>
      <c r="N67" s="99">
        <v>1</v>
      </c>
      <c r="O67" s="105">
        <v>1</v>
      </c>
      <c r="P67" s="105"/>
      <c r="Q67" s="106"/>
      <c r="R67" s="106"/>
      <c r="S67" s="105"/>
      <c r="T67" s="99" t="s">
        <v>463</v>
      </c>
      <c r="U67" s="99" t="s">
        <v>464</v>
      </c>
      <c r="V67" s="99"/>
      <c r="W67" s="99" t="s">
        <v>197</v>
      </c>
      <c r="X67" s="99" t="s">
        <v>150</v>
      </c>
      <c r="Y67" s="114">
        <v>45002.580694444441</v>
      </c>
      <c r="Z67" s="114">
        <v>45002.580694444441</v>
      </c>
      <c r="AA67" s="180"/>
      <c r="AB67" s="101">
        <f>VLOOKUP(D67,원가정보3!$E$5:$I$1048576,5,0)</f>
        <v>19147.7</v>
      </c>
      <c r="AC67" s="101">
        <f>AB67*O67</f>
        <v>19147.7</v>
      </c>
      <c r="AD67" s="96"/>
    </row>
    <row r="68" spans="1:30" s="3" customFormat="1" outlineLevel="1">
      <c r="A68" s="99"/>
      <c r="B68" s="99"/>
      <c r="C68" s="102"/>
      <c r="D68" s="322" t="s">
        <v>465</v>
      </c>
      <c r="E68" s="99"/>
      <c r="F68" s="99"/>
      <c r="G68" t="s">
        <v>466</v>
      </c>
      <c r="H68" s="99"/>
      <c r="I68" s="99"/>
      <c r="J68" s="99"/>
      <c r="K68" s="99"/>
      <c r="L68" s="99"/>
      <c r="M68" s="99"/>
      <c r="N68" s="99"/>
      <c r="O68" s="105">
        <v>1</v>
      </c>
      <c r="P68" s="105"/>
      <c r="Q68" s="106"/>
      <c r="R68" s="106"/>
      <c r="S68" s="105"/>
      <c r="T68" s="99"/>
      <c r="U68" s="99"/>
      <c r="V68" s="99"/>
      <c r="W68" s="99"/>
      <c r="X68" s="99" t="s">
        <v>150</v>
      </c>
      <c r="Y68" s="99"/>
      <c r="Z68" s="101"/>
      <c r="AA68" s="98"/>
      <c r="AB68" s="101">
        <f>VLOOKUP(D68,원가정보3!$E$5:$I$1048576,5,0)</f>
        <v>27912.500000000004</v>
      </c>
      <c r="AC68" s="101">
        <f>AB68*O68</f>
        <v>27912.500000000004</v>
      </c>
      <c r="AD68" s="3" t="s">
        <v>225</v>
      </c>
    </row>
    <row r="69" spans="1:30" s="3" customFormat="1" outlineLevel="1">
      <c r="A69" s="99"/>
      <c r="B69" s="99"/>
      <c r="C69" s="102"/>
      <c r="D69" s="322" t="s">
        <v>468</v>
      </c>
      <c r="E69" s="99"/>
      <c r="F69" s="99"/>
      <c r="G69" t="s">
        <v>469</v>
      </c>
      <c r="H69" s="99"/>
      <c r="I69" s="99"/>
      <c r="J69" s="99"/>
      <c r="K69" s="99"/>
      <c r="L69" s="99"/>
      <c r="M69" s="99"/>
      <c r="N69" s="99"/>
      <c r="O69" s="105">
        <v>2</v>
      </c>
      <c r="P69" s="105"/>
      <c r="Q69" s="106"/>
      <c r="R69" s="106"/>
      <c r="S69" s="105"/>
      <c r="T69" s="99"/>
      <c r="U69" s="99"/>
      <c r="V69" s="99"/>
      <c r="W69" s="99"/>
      <c r="X69" s="99" t="s">
        <v>150</v>
      </c>
      <c r="Y69" s="99"/>
      <c r="Z69" s="101"/>
      <c r="AA69" s="98"/>
      <c r="AB69" s="101">
        <f>VLOOKUP(D69,원가정보3!$E$5:$I$1048576,5,0)</f>
        <v>18980.5</v>
      </c>
      <c r="AC69" s="101">
        <f>AB69*O69</f>
        <v>37961</v>
      </c>
      <c r="AD69" s="3" t="s">
        <v>225</v>
      </c>
    </row>
    <row r="70" spans="1:30">
      <c r="D70" s="16" t="s">
        <v>471</v>
      </c>
      <c r="G70" s="17" t="s">
        <v>472</v>
      </c>
      <c r="H70" s="16" t="s">
        <v>473</v>
      </c>
      <c r="L70" s="17" t="s">
        <v>173</v>
      </c>
      <c r="O70" s="18">
        <v>1</v>
      </c>
      <c r="X70" t="s">
        <v>150</v>
      </c>
      <c r="AB70" s="186">
        <f>VLOOKUP(D70,원가정보3!$E$5:$I$1048576,5,0)</f>
        <v>21827.300000000003</v>
      </c>
      <c r="AC70" s="186">
        <f t="shared" si="1"/>
        <v>21827.300000000003</v>
      </c>
    </row>
    <row r="71" spans="1:30">
      <c r="A71" s="187"/>
      <c r="B71" s="187"/>
      <c r="C71" s="187"/>
      <c r="D71" s="173" t="s">
        <v>474</v>
      </c>
      <c r="E71" s="187"/>
      <c r="F71" s="187"/>
      <c r="G71" s="188" t="s">
        <v>475</v>
      </c>
      <c r="H71" s="187" t="s">
        <v>476</v>
      </c>
      <c r="I71" s="187"/>
      <c r="J71" s="187"/>
      <c r="K71" s="187"/>
      <c r="L71" s="187"/>
      <c r="M71" s="187"/>
      <c r="N71" s="187"/>
      <c r="O71" s="189">
        <f>IF('사양 입력'!$J$5=G71,'사양 입력'!$K$5,0)</f>
        <v>0</v>
      </c>
      <c r="P71" s="187"/>
      <c r="Q71" s="187"/>
      <c r="R71" s="187"/>
      <c r="S71" s="187"/>
      <c r="T71" s="187"/>
      <c r="U71" s="187"/>
      <c r="V71" s="187"/>
      <c r="W71" s="187"/>
      <c r="X71" s="187" t="s">
        <v>150</v>
      </c>
      <c r="Y71" s="187"/>
      <c r="Z71" s="187"/>
      <c r="AA71" s="187"/>
      <c r="AB71" s="185">
        <f>VLOOKUP(D71,원가정보3!$E$5:$I$1048576,5,0)</f>
        <v>27129</v>
      </c>
      <c r="AC71" s="185">
        <f t="shared" si="1"/>
        <v>0</v>
      </c>
    </row>
    <row r="72" spans="1:30">
      <c r="A72" s="187"/>
      <c r="B72" s="187"/>
      <c r="C72" s="187"/>
      <c r="D72" s="173" t="s">
        <v>477</v>
      </c>
      <c r="E72" s="187"/>
      <c r="F72" s="187"/>
      <c r="G72" s="187" t="s">
        <v>74</v>
      </c>
      <c r="H72" s="187" t="s">
        <v>478</v>
      </c>
      <c r="I72" s="187"/>
      <c r="J72" s="187"/>
      <c r="K72" s="187"/>
      <c r="L72" s="187"/>
      <c r="M72" s="187"/>
      <c r="N72" s="187"/>
      <c r="O72" s="189">
        <f>IF('사양 입력'!$J$5=G72,'사양 입력'!$K$5,0)</f>
        <v>14</v>
      </c>
      <c r="P72" s="187"/>
      <c r="Q72" s="187"/>
      <c r="R72" s="187"/>
      <c r="S72" s="187"/>
      <c r="T72" s="187"/>
      <c r="U72" s="187"/>
      <c r="V72" s="187"/>
      <c r="W72" s="187"/>
      <c r="X72" s="187" t="s">
        <v>150</v>
      </c>
      <c r="Y72" s="187"/>
      <c r="Z72" s="187"/>
      <c r="AA72" s="187"/>
      <c r="AB72" s="185">
        <f>VLOOKUP(D72,원가정보3!$E$5:$I$1048576,5,0)</f>
        <v>27522</v>
      </c>
      <c r="AC72" s="185">
        <f t="shared" si="1"/>
        <v>385308</v>
      </c>
    </row>
    <row r="73" spans="1:30">
      <c r="A73" s="187"/>
      <c r="B73" s="187"/>
      <c r="C73" s="187"/>
      <c r="D73" s="173" t="s">
        <v>479</v>
      </c>
      <c r="E73" s="187"/>
      <c r="F73" s="187"/>
      <c r="G73" s="188" t="s">
        <v>480</v>
      </c>
      <c r="H73" s="187" t="s">
        <v>481</v>
      </c>
      <c r="I73" s="187"/>
      <c r="J73" s="187"/>
      <c r="K73" s="187"/>
      <c r="L73" s="187"/>
      <c r="M73" s="187"/>
      <c r="N73" s="187"/>
      <c r="O73" s="189">
        <f>IF('사양 입력'!$J$5=G73,'사양 입력'!$K$5,0)</f>
        <v>0</v>
      </c>
      <c r="P73" s="187"/>
      <c r="Q73" s="187"/>
      <c r="R73" s="187"/>
      <c r="S73" s="187"/>
      <c r="T73" s="187"/>
      <c r="U73" s="187"/>
      <c r="V73" s="187"/>
      <c r="W73" s="187"/>
      <c r="X73" s="187" t="s">
        <v>150</v>
      </c>
      <c r="Y73" s="187"/>
      <c r="Z73" s="187"/>
      <c r="AA73" s="187"/>
      <c r="AB73" s="185">
        <f>VLOOKUP(D73,원가정보3!$E$5:$I$1048576,5,0)</f>
        <v>113883.00000000001</v>
      </c>
      <c r="AC73" s="185">
        <f t="shared" si="1"/>
        <v>0</v>
      </c>
    </row>
    <row r="74" spans="1:30">
      <c r="A74" s="187"/>
      <c r="B74" s="187"/>
      <c r="C74" s="187"/>
      <c r="D74" s="173" t="s">
        <v>482</v>
      </c>
      <c r="E74" s="187"/>
      <c r="F74" s="187"/>
      <c r="G74" s="188" t="s">
        <v>483</v>
      </c>
      <c r="H74" s="187" t="s">
        <v>484</v>
      </c>
      <c r="I74" s="187"/>
      <c r="J74" s="187"/>
      <c r="K74" s="187"/>
      <c r="L74" s="187"/>
      <c r="M74" s="187"/>
      <c r="N74" s="187"/>
      <c r="O74" s="189">
        <f>IF('사양 입력'!$J$7=G74,'사양 입력'!$K$7,0)</f>
        <v>0</v>
      </c>
      <c r="P74" s="187"/>
      <c r="Q74" s="187"/>
      <c r="R74" s="187"/>
      <c r="S74" s="187"/>
      <c r="T74" s="187"/>
      <c r="U74" s="187"/>
      <c r="V74" s="187"/>
      <c r="W74" s="187"/>
      <c r="X74" s="187" t="s">
        <v>150</v>
      </c>
      <c r="Y74" s="187"/>
      <c r="Z74" s="187"/>
      <c r="AA74" s="187"/>
      <c r="AB74" s="185">
        <f>VLOOKUP(D74,원가정보3!$E$5:$I$1048576,5,0)</f>
        <v>27216</v>
      </c>
      <c r="AC74" s="185">
        <f t="shared" si="1"/>
        <v>0</v>
      </c>
    </row>
    <row r="75" spans="1:30">
      <c r="A75" s="187"/>
      <c r="B75" s="187"/>
      <c r="C75" s="187"/>
      <c r="D75" s="173" t="s">
        <v>485</v>
      </c>
      <c r="E75" s="187"/>
      <c r="F75" s="187"/>
      <c r="G75" s="187" t="s">
        <v>81</v>
      </c>
      <c r="H75" s="187" t="s">
        <v>486</v>
      </c>
      <c r="I75" s="187"/>
      <c r="J75" s="187"/>
      <c r="K75" s="187"/>
      <c r="L75" s="187"/>
      <c r="M75" s="187"/>
      <c r="N75" s="187"/>
      <c r="O75" s="189">
        <f>IF('사양 입력'!$J$7=G75,'사양 입력'!$K$7,0)</f>
        <v>1</v>
      </c>
      <c r="P75" s="187"/>
      <c r="Q75" s="187"/>
      <c r="R75" s="187"/>
      <c r="S75" s="187"/>
      <c r="T75" s="187"/>
      <c r="U75" s="187"/>
      <c r="V75" s="187"/>
      <c r="W75" s="187"/>
      <c r="X75" s="187" t="s">
        <v>150</v>
      </c>
      <c r="Y75" s="187"/>
      <c r="Z75" s="187"/>
      <c r="AA75" s="187"/>
      <c r="AB75" s="185">
        <f>VLOOKUP(D75,원가정보3!$E$5:$I$1048576,5,0)</f>
        <v>25435</v>
      </c>
      <c r="AC75" s="185">
        <f t="shared" si="1"/>
        <v>25435</v>
      </c>
    </row>
    <row r="76" spans="1:30">
      <c r="A76" s="187"/>
      <c r="B76" s="187"/>
      <c r="C76" s="187"/>
      <c r="D76" s="173" t="s">
        <v>487</v>
      </c>
      <c r="E76" s="187"/>
      <c r="F76" s="187"/>
      <c r="G76" s="188" t="s">
        <v>488</v>
      </c>
      <c r="H76" s="187" t="s">
        <v>489</v>
      </c>
      <c r="I76" s="187"/>
      <c r="J76" s="187"/>
      <c r="K76" s="187"/>
      <c r="L76" s="187"/>
      <c r="M76" s="187"/>
      <c r="N76" s="187"/>
      <c r="O76" s="189">
        <f>IF('사양 입력'!$J$7=G76,'사양 입력'!$K$7,0)</f>
        <v>0</v>
      </c>
      <c r="P76" s="187"/>
      <c r="Q76" s="187"/>
      <c r="R76" s="187"/>
      <c r="S76" s="187"/>
      <c r="T76" s="187"/>
      <c r="U76" s="187"/>
      <c r="V76" s="187"/>
      <c r="W76" s="187"/>
      <c r="X76" s="187" t="s">
        <v>150</v>
      </c>
      <c r="Y76" s="187"/>
      <c r="Z76" s="187"/>
      <c r="AA76" s="187"/>
      <c r="AB76" s="185">
        <f>VLOOKUP(D76,원가정보3!$E$5:$I$1048576,5,0)</f>
        <v>117232.50000000001</v>
      </c>
      <c r="AC76" s="185">
        <f t="shared" si="1"/>
        <v>0</v>
      </c>
    </row>
    <row r="77" spans="1:30">
      <c r="A77" s="187"/>
      <c r="B77" s="187"/>
      <c r="C77" s="187"/>
      <c r="D77" s="173" t="s">
        <v>482</v>
      </c>
      <c r="E77" s="187"/>
      <c r="F77" s="187"/>
      <c r="G77" s="188" t="s">
        <v>490</v>
      </c>
      <c r="H77" s="187" t="s">
        <v>484</v>
      </c>
      <c r="I77" s="187"/>
      <c r="J77" s="187"/>
      <c r="K77" s="187"/>
      <c r="L77" s="187"/>
      <c r="M77" s="187"/>
      <c r="N77" s="187"/>
      <c r="O77" s="189">
        <f>IF('사양 입력'!$J$8=G77,'사양 입력'!$K$8,0)</f>
        <v>0</v>
      </c>
      <c r="P77" s="187"/>
      <c r="Q77" s="187"/>
      <c r="R77" s="187"/>
      <c r="S77" s="187"/>
      <c r="T77" s="187"/>
      <c r="U77" s="187"/>
      <c r="V77" s="187"/>
      <c r="W77" s="187"/>
      <c r="X77" s="187" t="s">
        <v>150</v>
      </c>
      <c r="Y77" s="187"/>
      <c r="Z77" s="187"/>
      <c r="AA77" s="187"/>
      <c r="AB77" s="185">
        <f>VLOOKUP(D77,원가정보3!$E$5:$I$1048576,5,0)</f>
        <v>27216</v>
      </c>
      <c r="AC77" s="185">
        <f t="shared" si="1"/>
        <v>0</v>
      </c>
    </row>
    <row r="78" spans="1:30">
      <c r="A78" s="187"/>
      <c r="B78" s="187"/>
      <c r="C78" s="187"/>
      <c r="D78" s="173" t="s">
        <v>485</v>
      </c>
      <c r="E78" s="187"/>
      <c r="F78" s="187"/>
      <c r="G78" s="187" t="s">
        <v>85</v>
      </c>
      <c r="H78" s="187" t="s">
        <v>486</v>
      </c>
      <c r="I78" s="187"/>
      <c r="J78" s="187"/>
      <c r="K78" s="187"/>
      <c r="L78" s="187"/>
      <c r="M78" s="187"/>
      <c r="N78" s="187"/>
      <c r="O78" s="189">
        <f>IF('사양 입력'!$J$8=G78,'사양 입력'!$K$8,0)</f>
        <v>1</v>
      </c>
      <c r="P78" s="187"/>
      <c r="Q78" s="187"/>
      <c r="R78" s="187"/>
      <c r="S78" s="187"/>
      <c r="T78" s="187"/>
      <c r="U78" s="187"/>
      <c r="V78" s="187"/>
      <c r="W78" s="187"/>
      <c r="X78" s="187" t="s">
        <v>150</v>
      </c>
      <c r="Y78" s="187"/>
      <c r="Z78" s="187"/>
      <c r="AA78" s="187"/>
      <c r="AB78" s="185">
        <f>VLOOKUP(D78,원가정보3!$E$5:$I$1048576,5,0)</f>
        <v>25435</v>
      </c>
      <c r="AC78" s="185">
        <f t="shared" ref="AC78:AC82" si="4">AB78*O78</f>
        <v>25435</v>
      </c>
    </row>
    <row r="79" spans="1:30">
      <c r="A79" s="187"/>
      <c r="B79" s="187"/>
      <c r="C79" s="187"/>
      <c r="D79" s="173" t="s">
        <v>487</v>
      </c>
      <c r="E79" s="187"/>
      <c r="F79" s="187"/>
      <c r="G79" s="188" t="s">
        <v>491</v>
      </c>
      <c r="H79" s="187" t="s">
        <v>489</v>
      </c>
      <c r="I79" s="187"/>
      <c r="J79" s="187"/>
      <c r="K79" s="187"/>
      <c r="L79" s="187"/>
      <c r="M79" s="187"/>
      <c r="N79" s="187"/>
      <c r="O79" s="189">
        <f>IF('사양 입력'!$J$8=G79,'사양 입력'!$K$8,0)</f>
        <v>0</v>
      </c>
      <c r="P79" s="187"/>
      <c r="Q79" s="187"/>
      <c r="R79" s="187"/>
      <c r="S79" s="187"/>
      <c r="T79" s="187"/>
      <c r="U79" s="187"/>
      <c r="V79" s="187"/>
      <c r="W79" s="187"/>
      <c r="X79" s="187" t="s">
        <v>150</v>
      </c>
      <c r="Y79" s="187"/>
      <c r="Z79" s="187"/>
      <c r="AA79" s="187"/>
      <c r="AB79" s="185">
        <f>VLOOKUP(D79,원가정보3!$E$5:$I$1048576,5,0)</f>
        <v>117232.50000000001</v>
      </c>
      <c r="AC79" s="185">
        <f t="shared" si="4"/>
        <v>0</v>
      </c>
    </row>
    <row r="80" spans="1:30">
      <c r="A80" s="187"/>
      <c r="B80" s="187"/>
      <c r="C80" s="187"/>
      <c r="D80" s="173" t="s">
        <v>492</v>
      </c>
      <c r="E80" s="187"/>
      <c r="F80" s="187"/>
      <c r="G80" s="188" t="s">
        <v>493</v>
      </c>
      <c r="H80" s="187" t="s">
        <v>494</v>
      </c>
      <c r="I80" s="187"/>
      <c r="J80" s="187"/>
      <c r="K80" s="187"/>
      <c r="L80" s="187"/>
      <c r="M80" s="187"/>
      <c r="N80" s="187"/>
      <c r="O80" s="189">
        <f>IF('사양 입력'!$J$4=G80,'사양 입력'!$K$4,0)</f>
        <v>0</v>
      </c>
      <c r="P80" s="187"/>
      <c r="Q80" s="187"/>
      <c r="R80" s="187"/>
      <c r="S80" s="187"/>
      <c r="T80" s="187"/>
      <c r="U80" s="187"/>
      <c r="V80" s="187"/>
      <c r="W80" s="187"/>
      <c r="X80" s="187" t="s">
        <v>150</v>
      </c>
      <c r="Y80" s="187"/>
      <c r="Z80" s="187"/>
      <c r="AA80" s="187"/>
      <c r="AB80" s="185">
        <f>VLOOKUP(D80,원가정보3!$E$5:$I$1048576,5,0)</f>
        <v>68345</v>
      </c>
      <c r="AC80" s="185">
        <f t="shared" si="4"/>
        <v>0</v>
      </c>
    </row>
    <row r="81" spans="1:29">
      <c r="A81" s="187"/>
      <c r="B81" s="187"/>
      <c r="C81" s="187"/>
      <c r="D81" s="173" t="s">
        <v>495</v>
      </c>
      <c r="E81" s="187"/>
      <c r="F81" s="187"/>
      <c r="G81" s="187" t="s">
        <v>71</v>
      </c>
      <c r="H81" s="187" t="s">
        <v>496</v>
      </c>
      <c r="I81" s="187"/>
      <c r="J81" s="187"/>
      <c r="K81" s="187"/>
      <c r="L81" s="187"/>
      <c r="M81" s="187"/>
      <c r="N81" s="187"/>
      <c r="O81" s="189">
        <f>IF('사양 입력'!$J$4=G81,'사양 입력'!$K$4,0)</f>
        <v>1</v>
      </c>
      <c r="P81" s="187"/>
      <c r="Q81" s="187"/>
      <c r="R81" s="187"/>
      <c r="S81" s="187"/>
      <c r="T81" s="187"/>
      <c r="U81" s="187"/>
      <c r="V81" s="187"/>
      <c r="W81" s="187"/>
      <c r="X81" s="187" t="s">
        <v>150</v>
      </c>
      <c r="Y81" s="187"/>
      <c r="Z81" s="187"/>
      <c r="AA81" s="187"/>
      <c r="AB81" s="185">
        <f>VLOOKUP(D81,원가정보3!$E$5:$I$1048576,5,0)</f>
        <v>27522</v>
      </c>
      <c r="AC81" s="185">
        <f t="shared" si="4"/>
        <v>27522</v>
      </c>
    </row>
    <row r="82" spans="1:29">
      <c r="A82" s="187"/>
      <c r="B82" s="187"/>
      <c r="C82" s="187"/>
      <c r="D82" s="173" t="s">
        <v>497</v>
      </c>
      <c r="E82" s="187"/>
      <c r="F82" s="187"/>
      <c r="G82" s="188" t="s">
        <v>498</v>
      </c>
      <c r="H82" s="187" t="s">
        <v>499</v>
      </c>
      <c r="I82" s="187"/>
      <c r="J82" s="187"/>
      <c r="K82" s="187"/>
      <c r="L82" s="187"/>
      <c r="M82" s="187"/>
      <c r="N82" s="187"/>
      <c r="O82" s="189">
        <f>IF('사양 입력'!$J$4=G82,'사양 입력'!$K$4,0)</f>
        <v>0</v>
      </c>
      <c r="P82" s="187"/>
      <c r="Q82" s="187"/>
      <c r="R82" s="187"/>
      <c r="S82" s="187"/>
      <c r="T82" s="187"/>
      <c r="U82" s="187"/>
      <c r="V82" s="187"/>
      <c r="W82" s="187"/>
      <c r="X82" s="187" t="s">
        <v>150</v>
      </c>
      <c r="Y82" s="187"/>
      <c r="Z82" s="187"/>
      <c r="AA82" s="187"/>
      <c r="AB82" s="185">
        <f>VLOOKUP(D82,원가정보3!$E$5:$I$1048576,5,0)</f>
        <v>94343.700000000012</v>
      </c>
      <c r="AC82" s="185">
        <f t="shared" si="4"/>
        <v>0</v>
      </c>
    </row>
    <row r="83" spans="1:29">
      <c r="A83" s="187"/>
      <c r="B83" s="187"/>
      <c r="C83" s="187"/>
      <c r="D83" s="173" t="s">
        <v>500</v>
      </c>
      <c r="E83" s="187"/>
      <c r="F83" s="187"/>
      <c r="G83" s="188" t="s">
        <v>501</v>
      </c>
      <c r="H83" s="187" t="s">
        <v>502</v>
      </c>
      <c r="I83" s="187"/>
      <c r="J83" s="187"/>
      <c r="K83" s="187"/>
      <c r="L83" s="187"/>
      <c r="M83" s="187"/>
      <c r="N83" s="187"/>
      <c r="O83" s="189">
        <f>IF(NOT('사양 입력'!$J$4="COP 원형 DOT"),1,0)</f>
        <v>1</v>
      </c>
      <c r="P83" s="187"/>
      <c r="Q83" s="187"/>
      <c r="R83" s="187"/>
      <c r="S83" s="187"/>
      <c r="T83" s="187"/>
      <c r="U83" s="187"/>
      <c r="V83" s="187"/>
      <c r="W83" s="187"/>
      <c r="X83" s="187" t="s">
        <v>150</v>
      </c>
      <c r="Y83" s="187"/>
      <c r="Z83" s="187"/>
      <c r="AA83" s="187"/>
      <c r="AB83" s="185">
        <f>VLOOKUP(D83,원가정보3!$E$5:$I$1048576,5,0)</f>
        <v>54167</v>
      </c>
      <c r="AC83" s="317">
        <f>AB83*O83</f>
        <v>54167</v>
      </c>
    </row>
    <row r="84" spans="1:29">
      <c r="A84" s="187"/>
      <c r="B84" s="187"/>
      <c r="C84" s="187"/>
      <c r="D84" s="173" t="s">
        <v>503</v>
      </c>
      <c r="E84" s="187"/>
      <c r="F84" s="187"/>
      <c r="G84" s="190" t="s">
        <v>504</v>
      </c>
      <c r="H84" s="187" t="s">
        <v>505</v>
      </c>
      <c r="I84" s="187"/>
      <c r="J84" s="187"/>
      <c r="K84" s="187"/>
      <c r="L84" s="187"/>
      <c r="M84" s="187"/>
      <c r="N84" s="187"/>
      <c r="O84" s="189">
        <f>'사양 입력'!$K$9</f>
        <v>0</v>
      </c>
      <c r="P84" s="187"/>
      <c r="Q84" s="187"/>
      <c r="R84" s="187"/>
      <c r="S84" s="187"/>
      <c r="T84" s="187"/>
      <c r="U84" s="187"/>
      <c r="V84" s="187"/>
      <c r="W84" s="187"/>
      <c r="X84" s="187" t="s">
        <v>150</v>
      </c>
      <c r="Y84" s="187"/>
      <c r="Z84" s="187"/>
      <c r="AA84" s="187"/>
      <c r="AB84" s="185">
        <f>VLOOKUP(D84,원가정보3!$E$5:$I$1048576,5,0)</f>
        <v>17030</v>
      </c>
      <c r="AC84" s="185">
        <f>AB84*O84</f>
        <v>0</v>
      </c>
    </row>
    <row r="85" spans="1:29">
      <c r="A85" s="109"/>
      <c r="B85" s="109"/>
      <c r="C85" s="109"/>
      <c r="D85" s="111" t="s">
        <v>506</v>
      </c>
      <c r="E85" s="109"/>
      <c r="F85" s="109"/>
      <c r="G85" s="318" t="s">
        <v>507</v>
      </c>
      <c r="H85" s="109" t="s">
        <v>508</v>
      </c>
      <c r="I85" s="109"/>
      <c r="J85" s="109"/>
      <c r="K85" s="109"/>
      <c r="L85" s="109"/>
      <c r="M85" s="109"/>
      <c r="N85" s="109"/>
      <c r="O85" s="109">
        <f>IF('사양 입력'!$K$11="Y",2,0)</f>
        <v>0</v>
      </c>
      <c r="P85" s="109"/>
      <c r="Q85" s="109"/>
      <c r="R85" s="109"/>
      <c r="S85" s="109"/>
      <c r="T85" s="109"/>
      <c r="U85" s="109"/>
      <c r="V85" s="109"/>
      <c r="W85" s="109"/>
      <c r="X85" s="109" t="s">
        <v>150</v>
      </c>
      <c r="Y85" s="109"/>
      <c r="Z85" s="109"/>
      <c r="AA85" s="109"/>
      <c r="AB85" s="101">
        <f>VLOOKUP(D85,원가정보3!$E$5:$I$1048576,5,0)</f>
        <v>8932</v>
      </c>
      <c r="AC85" s="101">
        <f>AB85*O85</f>
        <v>0</v>
      </c>
    </row>
    <row r="86" spans="1:29">
      <c r="A86" s="109"/>
      <c r="B86" s="109"/>
      <c r="C86" s="109"/>
      <c r="D86" s="111" t="s">
        <v>509</v>
      </c>
      <c r="E86" s="109"/>
      <c r="F86" s="109"/>
      <c r="G86" s="318" t="s">
        <v>510</v>
      </c>
      <c r="H86" s="109" t="s">
        <v>511</v>
      </c>
      <c r="I86" s="109"/>
      <c r="J86" s="109"/>
      <c r="K86" s="109"/>
      <c r="L86" s="109"/>
      <c r="M86" s="109"/>
      <c r="N86" s="109"/>
      <c r="O86" s="109">
        <f>IF('사양 입력'!$K$11="Y",1,0)</f>
        <v>0</v>
      </c>
      <c r="P86" s="109"/>
      <c r="Q86" s="109"/>
      <c r="R86" s="109"/>
      <c r="S86" s="109"/>
      <c r="T86" s="109"/>
      <c r="U86" s="109"/>
      <c r="V86" s="109"/>
      <c r="W86" s="109"/>
      <c r="X86" s="109" t="s">
        <v>150</v>
      </c>
      <c r="Y86" s="109"/>
      <c r="Z86" s="109"/>
      <c r="AA86" s="109"/>
      <c r="AB86" s="101">
        <f>VLOOKUP(D86,원가정보3!$E$5:$I$1048576,5,0)</f>
        <v>10048.5</v>
      </c>
      <c r="AC86" s="101">
        <f t="shared" ref="AC86:AC87" si="5">AB86*O86</f>
        <v>0</v>
      </c>
    </row>
    <row r="87" spans="1:29">
      <c r="A87" s="109"/>
      <c r="B87" s="109"/>
      <c r="C87" s="109"/>
      <c r="D87" s="111" t="s">
        <v>512</v>
      </c>
      <c r="E87" s="109"/>
      <c r="F87" s="109"/>
      <c r="G87" s="318" t="s">
        <v>614</v>
      </c>
      <c r="H87" s="109" t="s">
        <v>514</v>
      </c>
      <c r="I87" s="109"/>
      <c r="J87" s="109"/>
      <c r="K87" s="109"/>
      <c r="L87" s="109"/>
      <c r="M87" s="109"/>
      <c r="N87" s="109"/>
      <c r="O87" s="109">
        <f>IF('사양 입력'!$K$11="Y",1,0)</f>
        <v>0</v>
      </c>
      <c r="P87" s="109"/>
      <c r="Q87" s="109"/>
      <c r="R87" s="109"/>
      <c r="S87" s="109"/>
      <c r="T87" s="109"/>
      <c r="U87" s="109"/>
      <c r="V87" s="109"/>
      <c r="W87" s="109"/>
      <c r="X87" s="109" t="s">
        <v>150</v>
      </c>
      <c r="Y87" s="109"/>
      <c r="Z87" s="109"/>
      <c r="AA87" s="109"/>
      <c r="AB87" s="101">
        <f>VLOOKUP(D87,원가정보3!$E$5:$I$1048576,5,0)</f>
        <v>80638.8</v>
      </c>
      <c r="AC87" s="101">
        <f t="shared" si="5"/>
        <v>0</v>
      </c>
    </row>
    <row r="88" spans="1:29">
      <c r="A88" s="109"/>
      <c r="B88" s="109"/>
      <c r="C88" s="109"/>
      <c r="D88" s="111" t="s">
        <v>515</v>
      </c>
      <c r="E88" s="109"/>
      <c r="F88" s="109"/>
      <c r="G88" s="318" t="s">
        <v>615</v>
      </c>
      <c r="H88" s="109" t="s">
        <v>517</v>
      </c>
      <c r="I88" s="109"/>
      <c r="J88" s="109"/>
      <c r="K88" s="109"/>
      <c r="L88" s="109"/>
      <c r="M88" s="109"/>
      <c r="N88" s="109"/>
      <c r="O88" s="109">
        <f>IF('사양 입력'!$K$11="Y",1,0)</f>
        <v>0</v>
      </c>
      <c r="P88" s="109"/>
      <c r="Q88" s="109"/>
      <c r="R88" s="109"/>
      <c r="S88" s="109"/>
      <c r="T88" s="109"/>
      <c r="U88" s="109"/>
      <c r="V88" s="109"/>
      <c r="W88" s="109"/>
      <c r="X88" s="109" t="s">
        <v>150</v>
      </c>
      <c r="Y88" s="109"/>
      <c r="Z88" s="109"/>
      <c r="AA88" s="109"/>
      <c r="AB88" s="101">
        <f>VLOOKUP(D88,원가정보3!$E$5:$I$1048576,5,0)</f>
        <v>4912.6000000000004</v>
      </c>
      <c r="AC88" s="101">
        <f>AB88*O88</f>
        <v>0</v>
      </c>
    </row>
    <row r="89" spans="1:29">
      <c r="A89" s="109"/>
      <c r="B89" s="109"/>
      <c r="C89" s="109"/>
      <c r="D89" s="111" t="s">
        <v>518</v>
      </c>
      <c r="E89" s="109"/>
      <c r="F89" s="109"/>
      <c r="G89" s="318" t="s">
        <v>519</v>
      </c>
      <c r="H89" s="109" t="s">
        <v>520</v>
      </c>
      <c r="I89" s="109"/>
      <c r="J89" s="109"/>
      <c r="K89" s="109"/>
      <c r="L89" s="109"/>
      <c r="M89" s="109"/>
      <c r="N89" s="109"/>
      <c r="O89" s="109">
        <f>IF('사양 입력'!$K$11="Y",1,0)</f>
        <v>0</v>
      </c>
      <c r="P89" s="109"/>
      <c r="Q89" s="109"/>
      <c r="R89" s="109"/>
      <c r="S89" s="109"/>
      <c r="T89" s="109"/>
      <c r="U89" s="109"/>
      <c r="V89" s="109"/>
      <c r="W89" s="109"/>
      <c r="X89" s="109" t="s">
        <v>150</v>
      </c>
      <c r="Y89" s="109"/>
      <c r="Z89" s="109"/>
      <c r="AA89" s="109"/>
      <c r="AB89" s="101">
        <f>VLOOKUP(D89,원가정보3!$E$5:$I$1048576,5,0)</f>
        <v>208785.50000000003</v>
      </c>
      <c r="AC89" s="101">
        <f t="shared" ref="AC89:AC95" si="6">AB89*O89</f>
        <v>0</v>
      </c>
    </row>
    <row r="90" spans="1:29">
      <c r="A90" s="109"/>
      <c r="B90" s="109"/>
      <c r="C90" s="109"/>
      <c r="D90" s="111" t="s">
        <v>616</v>
      </c>
      <c r="E90" s="109"/>
      <c r="F90" s="109"/>
      <c r="G90" s="109" t="s">
        <v>617</v>
      </c>
      <c r="H90" s="111" t="s">
        <v>618</v>
      </c>
      <c r="I90" s="109"/>
      <c r="J90" s="109"/>
      <c r="K90" s="109"/>
      <c r="L90" s="109"/>
      <c r="M90" s="109"/>
      <c r="N90" s="109"/>
      <c r="O90" s="109">
        <f>IF('사양 입력'!$K$12="Y",9,0)</f>
        <v>0</v>
      </c>
      <c r="P90" s="109"/>
      <c r="Q90" s="109"/>
      <c r="R90" s="109"/>
      <c r="S90" s="109"/>
      <c r="T90" s="109"/>
      <c r="U90" s="109"/>
      <c r="V90" s="109"/>
      <c r="W90" s="109"/>
      <c r="X90" s="109" t="s">
        <v>150</v>
      </c>
      <c r="Y90" s="109"/>
      <c r="Z90" s="109"/>
      <c r="AA90" s="109"/>
      <c r="AB90" s="101">
        <f>VLOOKUP(D90,원가정보3!$E$5:$I$1048576,5,0)</f>
        <v>141.9</v>
      </c>
      <c r="AC90" s="101">
        <f t="shared" si="6"/>
        <v>0</v>
      </c>
    </row>
    <row r="91" spans="1:29">
      <c r="A91" s="109"/>
      <c r="B91" s="109"/>
      <c r="C91" s="109"/>
      <c r="D91" s="111" t="s">
        <v>619</v>
      </c>
      <c r="E91" s="109"/>
      <c r="F91" s="109"/>
      <c r="G91" s="109" t="s">
        <v>620</v>
      </c>
      <c r="H91" s="111" t="s">
        <v>621</v>
      </c>
      <c r="I91" s="109"/>
      <c r="J91" s="109"/>
      <c r="K91" s="109"/>
      <c r="L91" s="109"/>
      <c r="M91" s="109"/>
      <c r="N91" s="109"/>
      <c r="O91" s="109">
        <f>IF('사양 입력'!$K$12="Y",1,0)</f>
        <v>0</v>
      </c>
      <c r="P91" s="109"/>
      <c r="Q91" s="109"/>
      <c r="R91" s="109"/>
      <c r="S91" s="109"/>
      <c r="T91" s="109"/>
      <c r="U91" s="109"/>
      <c r="V91" s="109"/>
      <c r="W91" s="109"/>
      <c r="X91" s="109" t="s">
        <v>150</v>
      </c>
      <c r="Y91" s="109"/>
      <c r="Z91" s="109"/>
      <c r="AA91" s="109"/>
      <c r="AB91" s="101">
        <f>VLOOKUP(D91,원가정보3!$E$5:$I$1048576,5,0)</f>
        <v>39209.5</v>
      </c>
      <c r="AC91" s="101">
        <f t="shared" si="6"/>
        <v>0</v>
      </c>
    </row>
    <row r="92" spans="1:29">
      <c r="A92" s="109"/>
      <c r="B92" s="109"/>
      <c r="C92" s="109"/>
      <c r="D92" s="111" t="s">
        <v>622</v>
      </c>
      <c r="E92" s="109"/>
      <c r="F92" s="109"/>
      <c r="G92" s="109" t="s">
        <v>623</v>
      </c>
      <c r="H92" s="111" t="s">
        <v>624</v>
      </c>
      <c r="I92" s="109"/>
      <c r="J92" s="109"/>
      <c r="K92" s="109"/>
      <c r="L92" s="109"/>
      <c r="M92" s="109"/>
      <c r="N92" s="109"/>
      <c r="O92" s="109">
        <f>IF('사양 입력'!$K$12="Y",6,0)</f>
        <v>0</v>
      </c>
      <c r="P92" s="109"/>
      <c r="Q92" s="109"/>
      <c r="R92" s="109"/>
      <c r="S92" s="109"/>
      <c r="T92" s="109"/>
      <c r="U92" s="109"/>
      <c r="V92" s="109"/>
      <c r="W92" s="109"/>
      <c r="X92" s="109" t="s">
        <v>150</v>
      </c>
      <c r="Y92" s="109"/>
      <c r="Z92" s="109"/>
      <c r="AA92" s="109"/>
      <c r="AB92" s="101">
        <f>VLOOKUP(D92,원가정보3!$E$5:$I$1048576,5,0)</f>
        <v>1171.5</v>
      </c>
      <c r="AC92" s="101">
        <f t="shared" si="6"/>
        <v>0</v>
      </c>
    </row>
    <row r="93" spans="1:29">
      <c r="A93" s="109"/>
      <c r="B93" s="109"/>
      <c r="C93" s="109"/>
      <c r="D93" s="111" t="s">
        <v>625</v>
      </c>
      <c r="E93" s="109"/>
      <c r="F93" s="109"/>
      <c r="G93" s="109" t="s">
        <v>626</v>
      </c>
      <c r="H93" s="111" t="s">
        <v>627</v>
      </c>
      <c r="I93" s="109"/>
      <c r="J93" s="109"/>
      <c r="K93" s="109"/>
      <c r="L93" s="109"/>
      <c r="M93" s="109"/>
      <c r="N93" s="109"/>
      <c r="O93" s="109">
        <f>IF('사양 입력'!$K$12="Y",9,0)</f>
        <v>0</v>
      </c>
      <c r="P93" s="109"/>
      <c r="Q93" s="109"/>
      <c r="R93" s="109"/>
      <c r="S93" s="109"/>
      <c r="T93" s="109"/>
      <c r="U93" s="109"/>
      <c r="V93" s="109"/>
      <c r="W93" s="109"/>
      <c r="X93" s="109" t="s">
        <v>150</v>
      </c>
      <c r="Y93" s="109"/>
      <c r="Z93" s="109"/>
      <c r="AA93" s="109"/>
      <c r="AB93" s="101">
        <f>VLOOKUP(D93,원가정보3!$E$5:$I$1048576,5,0)</f>
        <v>7111.5000000000009</v>
      </c>
      <c r="AC93" s="101">
        <f t="shared" si="6"/>
        <v>0</v>
      </c>
    </row>
    <row r="94" spans="1:29">
      <c r="A94" s="109"/>
      <c r="B94" s="109"/>
      <c r="C94" s="109"/>
      <c r="D94" s="111" t="s">
        <v>628</v>
      </c>
      <c r="E94" s="109"/>
      <c r="F94" s="109"/>
      <c r="G94" s="109" t="s">
        <v>629</v>
      </c>
      <c r="H94" s="111" t="s">
        <v>630</v>
      </c>
      <c r="I94" s="109"/>
      <c r="J94" s="109"/>
      <c r="K94" s="109"/>
      <c r="L94" s="109"/>
      <c r="M94" s="109"/>
      <c r="N94" s="109"/>
      <c r="O94" s="109">
        <f>IF('사양 입력'!$K$12="Y",3,0)</f>
        <v>0</v>
      </c>
      <c r="P94" s="109"/>
      <c r="Q94" s="109"/>
      <c r="R94" s="109"/>
      <c r="S94" s="109"/>
      <c r="T94" s="109"/>
      <c r="U94" s="109"/>
      <c r="V94" s="109"/>
      <c r="W94" s="109"/>
      <c r="X94" s="109" t="s">
        <v>150</v>
      </c>
      <c r="Y94" s="109"/>
      <c r="Z94" s="109"/>
      <c r="AA94" s="109"/>
      <c r="AB94" s="101">
        <f>VLOOKUP(D94,원가정보3!$E$5:$I$1048576,5,0)</f>
        <v>4524.3</v>
      </c>
      <c r="AC94" s="101">
        <f t="shared" si="6"/>
        <v>0</v>
      </c>
    </row>
    <row r="95" spans="1:29">
      <c r="A95" s="109"/>
      <c r="B95" s="109"/>
      <c r="C95" s="109"/>
      <c r="D95" s="111" t="s">
        <v>631</v>
      </c>
      <c r="E95" s="109"/>
      <c r="F95" s="109"/>
      <c r="G95" s="109" t="s">
        <v>632</v>
      </c>
      <c r="H95" s="111" t="s">
        <v>633</v>
      </c>
      <c r="I95" s="109"/>
      <c r="J95" s="109"/>
      <c r="K95" s="109"/>
      <c r="L95" s="109"/>
      <c r="M95" s="109"/>
      <c r="N95" s="109"/>
      <c r="O95" s="109">
        <f>IF('사양 입력'!$K$12="Y",2,0)</f>
        <v>0</v>
      </c>
      <c r="P95" s="109"/>
      <c r="Q95" s="109"/>
      <c r="R95" s="109"/>
      <c r="S95" s="109"/>
      <c r="T95" s="109"/>
      <c r="U95" s="109"/>
      <c r="V95" s="109"/>
      <c r="W95" s="109"/>
      <c r="X95" s="109" t="s">
        <v>150</v>
      </c>
      <c r="Y95" s="109"/>
      <c r="Z95" s="109"/>
      <c r="AA95" s="109"/>
      <c r="AB95" s="101">
        <f>VLOOKUP(D95,원가정보3!$E$5:$I$1048576,5,0)</f>
        <v>3036.0000000000005</v>
      </c>
      <c r="AC95" s="101">
        <f t="shared" si="6"/>
        <v>0</v>
      </c>
    </row>
    <row r="96" spans="1:29">
      <c r="A96" s="109"/>
      <c r="B96" s="109"/>
      <c r="C96" s="109"/>
      <c r="D96" s="111" t="s">
        <v>634</v>
      </c>
      <c r="E96" s="109"/>
      <c r="F96" s="109"/>
      <c r="G96" s="109" t="s">
        <v>635</v>
      </c>
      <c r="H96" s="111" t="s">
        <v>636</v>
      </c>
      <c r="I96" s="109"/>
      <c r="J96" s="109"/>
      <c r="K96" s="109"/>
      <c r="L96" s="109"/>
      <c r="M96" s="109"/>
      <c r="N96" s="109"/>
      <c r="O96" s="109">
        <f>IF('사양 입력'!$K$12="Y",1,0)</f>
        <v>0</v>
      </c>
      <c r="P96" s="109"/>
      <c r="Q96" s="109"/>
      <c r="R96" s="109"/>
      <c r="S96" s="109"/>
      <c r="T96" s="109"/>
      <c r="U96" s="109"/>
      <c r="V96" s="109"/>
      <c r="W96" s="109"/>
      <c r="X96" s="109" t="s">
        <v>150</v>
      </c>
      <c r="Y96" s="109"/>
      <c r="Z96" s="109"/>
      <c r="AA96" s="109"/>
      <c r="AB96" s="101">
        <f>VLOOKUP(D96,원가정보3!$E$5:$I$1048576,5,0)</f>
        <v>6827.7000000000007</v>
      </c>
      <c r="AC96" s="326">
        <f>AB96*O96</f>
        <v>0</v>
      </c>
    </row>
    <row r="97" spans="1:29">
      <c r="A97" s="109"/>
      <c r="B97" s="109"/>
      <c r="C97" s="109"/>
      <c r="D97" s="111" t="s">
        <v>527</v>
      </c>
      <c r="E97" s="109"/>
      <c r="F97" s="109"/>
      <c r="G97" s="111" t="s">
        <v>528</v>
      </c>
      <c r="H97" s="109"/>
      <c r="I97" s="109"/>
      <c r="J97" s="109"/>
      <c r="K97" s="109"/>
      <c r="L97" s="109"/>
      <c r="M97" s="109"/>
      <c r="N97" s="109"/>
      <c r="O97" s="109">
        <f>IF('사양 입력'!$K$16="Y",1,0)</f>
        <v>0</v>
      </c>
      <c r="P97" s="109"/>
      <c r="Q97" s="109"/>
      <c r="R97" s="109"/>
      <c r="S97" s="109"/>
      <c r="T97" s="109"/>
      <c r="U97" s="109"/>
      <c r="V97" s="109"/>
      <c r="W97" s="109"/>
      <c r="X97" s="109" t="s">
        <v>224</v>
      </c>
      <c r="Y97" s="109"/>
      <c r="Z97" s="109"/>
      <c r="AA97" s="109"/>
      <c r="AB97" s="101">
        <f>VLOOKUP(D97,원가정보3!$E$5:$I$1048576,5,0)</f>
        <v>131300.40000000002</v>
      </c>
      <c r="AC97" s="101">
        <f t="shared" ref="AC97" si="7">AB97*O97</f>
        <v>0</v>
      </c>
    </row>
    <row r="98" spans="1:29">
      <c r="A98" s="109"/>
      <c r="B98" s="109"/>
      <c r="C98" s="109"/>
      <c r="D98" s="111" t="s">
        <v>529</v>
      </c>
      <c r="E98" s="109"/>
      <c r="F98" s="109"/>
      <c r="G98" s="111" t="s">
        <v>530</v>
      </c>
      <c r="H98" s="109"/>
      <c r="I98" s="109"/>
      <c r="J98" s="109"/>
      <c r="K98" s="109"/>
      <c r="L98" s="109"/>
      <c r="M98" s="109"/>
      <c r="N98" s="109"/>
      <c r="O98" s="109">
        <f>IF('사양 입력'!$K$16="Y",1,0)</f>
        <v>0</v>
      </c>
      <c r="P98" s="109"/>
      <c r="Q98" s="109"/>
      <c r="R98" s="109"/>
      <c r="S98" s="109"/>
      <c r="T98" s="109"/>
      <c r="U98" s="109"/>
      <c r="V98" s="109"/>
      <c r="W98" s="109"/>
      <c r="X98" s="109" t="s">
        <v>224</v>
      </c>
      <c r="Y98" s="109"/>
      <c r="Z98" s="109"/>
      <c r="AA98" s="109"/>
      <c r="AB98" s="101">
        <f>VLOOKUP(D98,원가정보3!$E$5:$I$1048576,5,0)</f>
        <v>43529.200000000004</v>
      </c>
      <c r="AC98" s="101">
        <f>AB98*O98</f>
        <v>0</v>
      </c>
    </row>
    <row r="99" spans="1:29">
      <c r="A99" s="109"/>
      <c r="B99" s="109"/>
      <c r="C99" s="109"/>
      <c r="D99" s="111" t="s">
        <v>531</v>
      </c>
      <c r="E99" s="109"/>
      <c r="F99" s="109"/>
      <c r="G99" s="111" t="s">
        <v>532</v>
      </c>
      <c r="H99" s="111" t="s">
        <v>531</v>
      </c>
      <c r="I99" s="109"/>
      <c r="J99" s="109"/>
      <c r="K99" s="109"/>
      <c r="L99" s="109"/>
      <c r="M99" s="109"/>
      <c r="N99" s="109"/>
      <c r="O99" s="109">
        <f>IF('사양 입력'!$K$17="Y",1,0)</f>
        <v>0</v>
      </c>
      <c r="P99" s="109"/>
      <c r="Q99" s="109" t="s">
        <v>533</v>
      </c>
      <c r="R99" s="109"/>
      <c r="S99" s="109"/>
      <c r="T99" s="109"/>
      <c r="U99" s="109"/>
      <c r="V99" s="109"/>
      <c r="W99" s="109"/>
      <c r="X99" s="109" t="s">
        <v>224</v>
      </c>
      <c r="Y99" s="109"/>
      <c r="Z99" s="109"/>
      <c r="AA99" s="109"/>
      <c r="AB99" s="101">
        <f>VLOOKUP(D99,원가정보3!$E$5:$I$1048576,5,0)</f>
        <v>39420.700000000004</v>
      </c>
      <c r="AC99" s="101">
        <f t="shared" ref="AC99:AC104" si="8">AB99*O99</f>
        <v>0</v>
      </c>
    </row>
    <row r="100" spans="1:29">
      <c r="A100" s="109"/>
      <c r="B100" s="109"/>
      <c r="C100" s="109"/>
      <c r="D100" s="111" t="s">
        <v>534</v>
      </c>
      <c r="E100" s="109"/>
      <c r="F100" s="109"/>
      <c r="G100" s="111" t="s">
        <v>535</v>
      </c>
      <c r="H100" s="111" t="s">
        <v>534</v>
      </c>
      <c r="I100" s="109"/>
      <c r="J100" s="109"/>
      <c r="K100" s="109"/>
      <c r="L100" s="109"/>
      <c r="M100" s="109"/>
      <c r="N100" s="109"/>
      <c r="O100" s="109">
        <f>IF('사양 입력'!$K$17="Y",1,0)</f>
        <v>0</v>
      </c>
      <c r="P100" s="109"/>
      <c r="Q100" s="109" t="s">
        <v>533</v>
      </c>
      <c r="R100" s="109"/>
      <c r="S100" s="109"/>
      <c r="T100" s="109"/>
      <c r="U100" s="109"/>
      <c r="V100" s="109"/>
      <c r="W100" s="109"/>
      <c r="X100" s="109" t="s">
        <v>224</v>
      </c>
      <c r="Y100" s="109"/>
      <c r="Z100" s="109"/>
      <c r="AA100" s="109"/>
      <c r="AB100" s="101">
        <f>VLOOKUP(D100,원가정보3!$E$5:$I$1048576,5,0)</f>
        <v>0</v>
      </c>
      <c r="AC100" s="101">
        <f t="shared" si="8"/>
        <v>0</v>
      </c>
    </row>
    <row r="101" spans="1:29">
      <c r="A101" s="109"/>
      <c r="B101" s="109"/>
      <c r="C101" s="109"/>
      <c r="D101" s="111" t="s">
        <v>536</v>
      </c>
      <c r="E101" s="109"/>
      <c r="F101" s="109"/>
      <c r="G101" s="111" t="s">
        <v>537</v>
      </c>
      <c r="H101" s="111" t="s">
        <v>536</v>
      </c>
      <c r="I101" s="109"/>
      <c r="J101" s="109"/>
      <c r="K101" s="109"/>
      <c r="L101" s="109"/>
      <c r="M101" s="109"/>
      <c r="N101" s="109"/>
      <c r="O101" s="109" t="str">
        <f>IF('사양 입력'!$K$17="Y",(2000+'사양 입력'!C11+'사양 입력'!C12-2100+5000)/1000,"0")</f>
        <v>0</v>
      </c>
      <c r="P101" s="109"/>
      <c r="Q101" s="109" t="s">
        <v>533</v>
      </c>
      <c r="R101" s="109"/>
      <c r="S101" s="109"/>
      <c r="T101" s="109"/>
      <c r="U101" s="109"/>
      <c r="V101" s="109"/>
      <c r="W101" s="109"/>
      <c r="X101" s="109" t="s">
        <v>224</v>
      </c>
      <c r="Y101" s="109"/>
      <c r="Z101" s="109"/>
      <c r="AA101" s="109"/>
      <c r="AB101" s="101">
        <f>VLOOKUP(D101,원가정보3!$E$5:$I$1048576,5,0)</f>
        <v>1745.7</v>
      </c>
      <c r="AC101" s="101">
        <f t="shared" si="8"/>
        <v>0</v>
      </c>
    </row>
    <row r="102" spans="1:29">
      <c r="A102" s="109"/>
      <c r="B102" s="109"/>
      <c r="C102" s="109"/>
      <c r="D102" s="111" t="s">
        <v>538</v>
      </c>
      <c r="E102" s="109"/>
      <c r="F102" s="109"/>
      <c r="G102" s="111" t="s">
        <v>539</v>
      </c>
      <c r="H102" s="111" t="s">
        <v>538</v>
      </c>
      <c r="I102" s="109"/>
      <c r="J102" s="109"/>
      <c r="K102" s="109"/>
      <c r="L102" s="109"/>
      <c r="M102" s="109"/>
      <c r="N102" s="109"/>
      <c r="O102" s="109">
        <f>IF('사양 입력'!$K$17="Y",1,0)</f>
        <v>0</v>
      </c>
      <c r="P102" s="109"/>
      <c r="Q102" s="109" t="s">
        <v>533</v>
      </c>
      <c r="R102" s="109"/>
      <c r="S102" s="109"/>
      <c r="T102" s="109"/>
      <c r="U102" s="109"/>
      <c r="V102" s="109"/>
      <c r="W102" s="109"/>
      <c r="X102" s="109" t="s">
        <v>224</v>
      </c>
      <c r="Y102" s="109"/>
      <c r="Z102" s="109"/>
      <c r="AA102" s="109"/>
      <c r="AB102" s="101">
        <f>VLOOKUP(D102,원가정보3!$E$5:$I$1048576,5,0)</f>
        <v>3149.3</v>
      </c>
      <c r="AC102" s="101">
        <f t="shared" si="8"/>
        <v>0</v>
      </c>
    </row>
    <row r="103" spans="1:29">
      <c r="A103" s="109"/>
      <c r="B103" s="109"/>
      <c r="C103" s="109"/>
      <c r="D103" s="111" t="s">
        <v>540</v>
      </c>
      <c r="E103" s="109"/>
      <c r="F103" s="109"/>
      <c r="G103" s="109" t="s">
        <v>541</v>
      </c>
      <c r="H103" s="111" t="s">
        <v>540</v>
      </c>
      <c r="I103" s="109"/>
      <c r="J103" s="109"/>
      <c r="K103" s="109"/>
      <c r="L103" s="109"/>
      <c r="M103" s="109"/>
      <c r="N103" s="109"/>
      <c r="O103" s="109">
        <f>IF('사양 입력'!$K$17="Y",1,0)</f>
        <v>0</v>
      </c>
      <c r="P103" s="109"/>
      <c r="Q103" s="109" t="s">
        <v>541</v>
      </c>
      <c r="R103" s="109"/>
      <c r="S103" s="109"/>
      <c r="T103" s="109"/>
      <c r="U103" s="109"/>
      <c r="V103" s="109"/>
      <c r="W103" s="109"/>
      <c r="X103" s="109" t="s">
        <v>224</v>
      </c>
      <c r="Y103" s="109"/>
      <c r="Z103" s="109"/>
      <c r="AA103" s="109"/>
      <c r="AB103" s="101">
        <f>VLOOKUP(D103,원가정보3!$E$5:$I$1048576,5,0)</f>
        <v>24360</v>
      </c>
      <c r="AC103" s="101">
        <f t="shared" si="8"/>
        <v>0</v>
      </c>
    </row>
    <row r="104" spans="1:29">
      <c r="A104" s="109"/>
      <c r="B104" s="109"/>
      <c r="C104" s="109"/>
      <c r="D104" s="111" t="s">
        <v>542</v>
      </c>
      <c r="E104" s="109"/>
      <c r="F104" s="109"/>
      <c r="G104" s="109" t="s">
        <v>543</v>
      </c>
      <c r="H104" s="111" t="s">
        <v>542</v>
      </c>
      <c r="I104" s="109"/>
      <c r="J104" s="109"/>
      <c r="K104" s="109"/>
      <c r="L104" s="109"/>
      <c r="M104" s="109"/>
      <c r="N104" s="109"/>
      <c r="O104" s="109">
        <f>IF('사양 입력'!$K$17="Y",1,0)</f>
        <v>0</v>
      </c>
      <c r="P104" s="109"/>
      <c r="Q104" s="109" t="s">
        <v>543</v>
      </c>
      <c r="R104" s="109"/>
      <c r="S104" s="109"/>
      <c r="T104" s="109"/>
      <c r="U104" s="109"/>
      <c r="V104" s="109"/>
      <c r="W104" s="109"/>
      <c r="X104" s="109" t="s">
        <v>224</v>
      </c>
      <c r="Y104" s="109"/>
      <c r="Z104" s="109"/>
      <c r="AA104" s="109"/>
      <c r="AB104" s="101">
        <f>VLOOKUP(D104,원가정보3!$E$5:$I$1048576,5,0)</f>
        <v>93775</v>
      </c>
      <c r="AC104" s="101">
        <f t="shared" si="8"/>
        <v>0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O18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6351-FB65-4711-8772-47B469543093}">
  <sheetPr codeName="Sheet2">
    <tabColor theme="5"/>
  </sheetPr>
  <dimension ref="A2:AD104"/>
  <sheetViews>
    <sheetView zoomScale="70" zoomScaleNormal="70" workbookViewId="0"/>
  </sheetViews>
  <sheetFormatPr defaultColWidth="8.8984375" defaultRowHeight="17.399999999999999" outlineLevelRow="1"/>
  <cols>
    <col min="1" max="1" width="4.5" bestFit="1" customWidth="1"/>
    <col min="2" max="2" width="5.09765625" bestFit="1" customWidth="1"/>
    <col min="3" max="3" width="5.59765625" bestFit="1" customWidth="1"/>
    <col min="4" max="4" width="16.09765625" bestFit="1" customWidth="1"/>
    <col min="5" max="5" width="5.5" bestFit="1" customWidth="1"/>
    <col min="6" max="6" width="5.09765625" bestFit="1" customWidth="1"/>
    <col min="7" max="7" width="45.5" bestFit="1" customWidth="1"/>
    <col min="8" max="8" width="19.59765625" customWidth="1"/>
    <col min="11" max="11" width="12.59765625" customWidth="1"/>
    <col min="12" max="12" width="11.59765625" customWidth="1"/>
    <col min="13" max="14" width="5.09765625" bestFit="1" customWidth="1"/>
    <col min="15" max="15" width="8.09765625" customWidth="1"/>
    <col min="17" max="17" width="49.3984375" customWidth="1"/>
    <col min="18" max="18" width="18.59765625" bestFit="1" customWidth="1"/>
    <col min="20" max="20" width="52.59765625" bestFit="1" customWidth="1"/>
    <col min="21" max="21" width="35.5" bestFit="1" customWidth="1"/>
    <col min="24" max="24" width="11.59765625" bestFit="1" customWidth="1"/>
    <col min="26" max="26" width="11.59765625" bestFit="1" customWidth="1"/>
    <col min="27" max="27" width="14.59765625" style="40" bestFit="1" customWidth="1"/>
    <col min="28" max="28" width="14.19921875" customWidth="1"/>
    <col min="29" max="29" width="11.59765625" bestFit="1" customWidth="1"/>
    <col min="30" max="30" width="14.59765625" bestFit="1" customWidth="1"/>
  </cols>
  <sheetData>
    <row r="2" spans="1:30" ht="30">
      <c r="B2" s="63" t="s">
        <v>121</v>
      </c>
      <c r="C2" s="64"/>
    </row>
    <row r="3" spans="1:30">
      <c r="D3" t="s">
        <v>122</v>
      </c>
    </row>
    <row r="4" spans="1:30">
      <c r="B4" s="3"/>
    </row>
    <row r="5" spans="1:30" s="4" customFormat="1">
      <c r="A5" s="97" t="s">
        <v>88</v>
      </c>
      <c r="B5" s="97" t="s">
        <v>123</v>
      </c>
      <c r="C5" s="97" t="s">
        <v>124</v>
      </c>
      <c r="D5" s="97" t="s">
        <v>125</v>
      </c>
      <c r="E5" s="97" t="s">
        <v>126</v>
      </c>
      <c r="F5" s="97" t="s">
        <v>127</v>
      </c>
      <c r="G5" s="97" t="s">
        <v>128</v>
      </c>
      <c r="H5" s="97" t="s">
        <v>129</v>
      </c>
      <c r="I5" s="97" t="s">
        <v>130</v>
      </c>
      <c r="J5" s="97" t="s">
        <v>131</v>
      </c>
      <c r="K5" s="97" t="s">
        <v>132</v>
      </c>
      <c r="L5" s="97" t="s">
        <v>133</v>
      </c>
      <c r="M5" s="97" t="s">
        <v>134</v>
      </c>
      <c r="N5" s="97" t="s">
        <v>135</v>
      </c>
      <c r="O5" s="97" t="s">
        <v>136</v>
      </c>
      <c r="P5" s="97" t="s">
        <v>137</v>
      </c>
      <c r="Q5" s="97" t="s">
        <v>138</v>
      </c>
      <c r="R5" s="97" t="s">
        <v>139</v>
      </c>
      <c r="S5" s="97" t="s">
        <v>140</v>
      </c>
      <c r="T5" s="97" t="s">
        <v>141</v>
      </c>
      <c r="U5" s="97" t="s">
        <v>142</v>
      </c>
      <c r="V5" s="97" t="s">
        <v>143</v>
      </c>
      <c r="W5" s="97" t="s">
        <v>19</v>
      </c>
      <c r="X5" s="97" t="s">
        <v>144</v>
      </c>
      <c r="Y5" s="97" t="s">
        <v>145</v>
      </c>
      <c r="Z5" s="98" t="s">
        <v>146</v>
      </c>
      <c r="AA5" s="98" t="s">
        <v>147</v>
      </c>
      <c r="AB5" s="96" t="s">
        <v>148</v>
      </c>
      <c r="AC5" s="94"/>
    </row>
    <row r="6" spans="1:30" s="4" customFormat="1">
      <c r="A6" s="121"/>
      <c r="B6" s="121"/>
      <c r="C6" s="121">
        <v>1</v>
      </c>
      <c r="D6" s="122" t="str">
        <f>IF('사양 입력'!$G$4="MRL",VLOOKUP('사양 입력'!$G$4&amp;'사양 입력'!$G$5&amp;'사양 입력'!$G$6&amp;'사양 입력'!$G$7&amp;'사양 입력'!$C$16&amp;'사양 입력'!$G$12&amp;'사양 입력'!$G$11,'CP ASSY'!$U$12:$V$251,2,FALSE),"ERROR")</f>
        <v>ERROR</v>
      </c>
      <c r="E6" s="121"/>
      <c r="F6" s="121"/>
      <c r="G6" s="123" t="s">
        <v>149</v>
      </c>
      <c r="H6" s="124" t="str">
        <f t="shared" ref="H6:H29" si="0">LEFT(D6,11)</f>
        <v>ERROR</v>
      </c>
      <c r="I6" s="121"/>
      <c r="J6" s="121"/>
      <c r="K6" s="121"/>
      <c r="L6" s="121"/>
      <c r="M6" s="121"/>
      <c r="N6" s="121"/>
      <c r="O6" s="122" t="str">
        <f>IF(D6="ERROR","N/A",1)</f>
        <v>N/A</v>
      </c>
      <c r="P6" s="121"/>
      <c r="Q6" s="122" t="e">
        <f>VLOOKUP($D$6,'CP ASSY'!$V$12:$W$251,2,FALSE)</f>
        <v>#N/A</v>
      </c>
      <c r="R6" s="121"/>
      <c r="S6" s="121"/>
      <c r="T6" s="121"/>
      <c r="U6" s="121"/>
      <c r="V6" s="121"/>
      <c r="W6" s="121"/>
      <c r="X6" s="121" t="s">
        <v>150</v>
      </c>
      <c r="Y6" s="121"/>
      <c r="Z6" s="125" t="e">
        <f>VLOOKUP(D6,원가정보3!$E$5:$K$1048576,5,0)</f>
        <v>#N/A</v>
      </c>
      <c r="AA6" s="125" t="e">
        <f>Z6*O6</f>
        <v>#N/A</v>
      </c>
      <c r="AB6" s="112">
        <f>SUMIF(AA6:AA137,"&lt;&gt;#n/a")</f>
        <v>4393673.6104999995</v>
      </c>
      <c r="AC6" s="120" t="s">
        <v>151</v>
      </c>
      <c r="AD6" s="112">
        <f>SUMIF(AA6:AA30,"&lt;&gt;#n/a")</f>
        <v>1129369.1160000002</v>
      </c>
    </row>
    <row r="7" spans="1:30" s="88" customFormat="1">
      <c r="A7" s="121"/>
      <c r="B7" s="121"/>
      <c r="C7" s="121"/>
      <c r="D7" s="122" t="e">
        <f>VLOOKUP($D$6,'CP ASSY'!$V$12:$AA$251,6,FALSE)&amp;"00"</f>
        <v>#N/A</v>
      </c>
      <c r="E7" s="121"/>
      <c r="F7" s="121"/>
      <c r="G7" s="121" t="s">
        <v>152</v>
      </c>
      <c r="H7" s="124" t="e">
        <f t="shared" si="0"/>
        <v>#N/A</v>
      </c>
      <c r="I7" s="121"/>
      <c r="J7" s="121"/>
      <c r="K7" s="121"/>
      <c r="L7" s="121"/>
      <c r="M7" s="121"/>
      <c r="N7" s="121"/>
      <c r="O7" s="122" t="str">
        <f>IF('사양 입력'!G4="MRL",1,"ERROR")</f>
        <v>ERROR</v>
      </c>
      <c r="P7" s="121"/>
      <c r="Q7" s="122"/>
      <c r="R7" s="121"/>
      <c r="S7" s="121"/>
      <c r="T7" s="121"/>
      <c r="U7" s="121"/>
      <c r="V7" s="121"/>
      <c r="W7" s="121"/>
      <c r="X7" s="121" t="s">
        <v>150</v>
      </c>
      <c r="Y7" s="121"/>
      <c r="Z7" s="125" t="e">
        <f>VLOOKUP(D7,원가정보3!$E$5:$K$1048576,5,0)</f>
        <v>#N/A</v>
      </c>
      <c r="AA7" s="125" t="e">
        <f t="shared" ref="AA7:AA76" si="1">Z7*O7</f>
        <v>#N/A</v>
      </c>
      <c r="AB7" s="96"/>
      <c r="AC7" s="4" t="s">
        <v>153</v>
      </c>
      <c r="AD7" s="95">
        <f>AA67</f>
        <v>358061</v>
      </c>
    </row>
    <row r="8" spans="1:30" s="4" customFormat="1">
      <c r="A8" s="121"/>
      <c r="B8" s="121"/>
      <c r="C8" s="121"/>
      <c r="D8" s="124" t="e">
        <f>H8&amp;"00"</f>
        <v>#N/A</v>
      </c>
      <c r="E8" s="121"/>
      <c r="F8" s="121"/>
      <c r="G8" s="121" t="s">
        <v>154</v>
      </c>
      <c r="H8" s="122" t="e">
        <f>VLOOKUP($D$6,'CP ASSY'!$D$12:$E$251,2,0)</f>
        <v>#N/A</v>
      </c>
      <c r="I8" s="121"/>
      <c r="J8" s="121"/>
      <c r="K8" s="121"/>
      <c r="L8" s="121"/>
      <c r="M8" s="121"/>
      <c r="N8" s="121"/>
      <c r="O8" s="122">
        <v>1</v>
      </c>
      <c r="P8" s="121"/>
      <c r="Q8" s="122" t="e">
        <f>VLOOKUP(D6,'CP ASSY'!$D$12:$L$251,9,0)</f>
        <v>#N/A</v>
      </c>
      <c r="R8" s="121"/>
      <c r="S8" s="121"/>
      <c r="T8" s="121"/>
      <c r="U8" s="121"/>
      <c r="V8" s="121"/>
      <c r="W8" s="121"/>
      <c r="X8" s="121" t="s">
        <v>150</v>
      </c>
      <c r="Y8" s="121"/>
      <c r="Z8" s="125" t="e">
        <f>VLOOKUP(D8,원가정보3!$E$5:$K$1048576,5,0)</f>
        <v>#N/A</v>
      </c>
      <c r="AA8" s="125" t="e">
        <f t="shared" si="1"/>
        <v>#N/A</v>
      </c>
      <c r="AB8" s="96"/>
      <c r="AC8" s="4" t="s">
        <v>155</v>
      </c>
      <c r="AD8" s="95">
        <f>SUM(AA76:AA89)</f>
        <v>517867</v>
      </c>
    </row>
    <row r="9" spans="1:30" s="86" customFormat="1">
      <c r="A9" s="121"/>
      <c r="B9" s="121"/>
      <c r="C9" s="121"/>
      <c r="D9" s="121" t="s">
        <v>156</v>
      </c>
      <c r="E9" s="121"/>
      <c r="F9" s="121"/>
      <c r="G9" s="121" t="s">
        <v>157</v>
      </c>
      <c r="H9" s="121" t="s">
        <v>158</v>
      </c>
      <c r="I9" s="121"/>
      <c r="J9" s="121"/>
      <c r="K9" s="121"/>
      <c r="L9" s="121"/>
      <c r="M9" s="121"/>
      <c r="N9" s="121"/>
      <c r="O9" s="126">
        <v>1</v>
      </c>
      <c r="P9" s="121"/>
      <c r="Q9" s="121" t="s">
        <v>157</v>
      </c>
      <c r="R9" s="121" t="s">
        <v>159</v>
      </c>
      <c r="S9" s="121"/>
      <c r="T9" s="121"/>
      <c r="U9" s="121"/>
      <c r="V9" s="121"/>
      <c r="W9" s="121"/>
      <c r="X9" s="121" t="s">
        <v>150</v>
      </c>
      <c r="Y9" s="121"/>
      <c r="Z9" s="125">
        <f>VLOOKUP(D9,원가정보3!$E$5:$K$1048576,5,0)</f>
        <v>56393</v>
      </c>
      <c r="AA9" s="125">
        <f t="shared" si="1"/>
        <v>56393</v>
      </c>
      <c r="AB9" s="96"/>
      <c r="AC9" s="4" t="s">
        <v>160</v>
      </c>
      <c r="AD9" s="94">
        <f>SUM(AA35:AA56)</f>
        <v>1563575.2000000002</v>
      </c>
    </row>
    <row r="10" spans="1:30" s="86" customFormat="1">
      <c r="A10" s="121"/>
      <c r="B10" s="121"/>
      <c r="C10" s="121"/>
      <c r="D10" s="121" t="s">
        <v>161</v>
      </c>
      <c r="E10" s="121"/>
      <c r="F10" s="121"/>
      <c r="G10" s="121" t="s">
        <v>162</v>
      </c>
      <c r="H10" s="121" t="s">
        <v>163</v>
      </c>
      <c r="I10" s="121"/>
      <c r="J10" s="121"/>
      <c r="K10" s="121"/>
      <c r="L10" s="121"/>
      <c r="M10" s="121"/>
      <c r="N10" s="121"/>
      <c r="O10" s="126">
        <v>1</v>
      </c>
      <c r="P10" s="121"/>
      <c r="Q10" s="121" t="s">
        <v>162</v>
      </c>
      <c r="R10" s="121" t="s">
        <v>164</v>
      </c>
      <c r="S10" s="121"/>
      <c r="T10" s="121"/>
      <c r="U10" s="121"/>
      <c r="V10" s="121"/>
      <c r="W10" s="121"/>
      <c r="X10" s="121" t="s">
        <v>150</v>
      </c>
      <c r="Y10" s="121"/>
      <c r="Z10" s="125">
        <f>VLOOKUP(D10,원가정보3!$E$5:$K$1048576,5,0)</f>
        <v>30754</v>
      </c>
      <c r="AA10" s="125">
        <f t="shared" si="1"/>
        <v>30754</v>
      </c>
      <c r="AB10" s="96"/>
      <c r="AC10" s="4" t="s">
        <v>165</v>
      </c>
      <c r="AD10" s="95">
        <f>SUM(AA32:AA34)+SUM(AA57:AA66)+SUM(AA68:AA75)</f>
        <v>725061</v>
      </c>
    </row>
    <row r="11" spans="1:30" s="86" customFormat="1">
      <c r="A11" s="121"/>
      <c r="B11" s="121"/>
      <c r="C11" s="121"/>
      <c r="D11" s="121" t="s">
        <v>166</v>
      </c>
      <c r="E11" s="121"/>
      <c r="F11" s="121"/>
      <c r="G11" s="121" t="s">
        <v>167</v>
      </c>
      <c r="H11" s="121" t="s">
        <v>168</v>
      </c>
      <c r="I11" s="121"/>
      <c r="J11" s="121"/>
      <c r="K11" s="121"/>
      <c r="L11" s="121"/>
      <c r="M11" s="121"/>
      <c r="N11" s="121"/>
      <c r="O11" s="126">
        <v>1</v>
      </c>
      <c r="P11" s="121"/>
      <c r="Q11" s="121" t="s">
        <v>169</v>
      </c>
      <c r="R11" s="121"/>
      <c r="S11" s="121"/>
      <c r="T11" s="121"/>
      <c r="U11" s="121"/>
      <c r="V11" s="121"/>
      <c r="W11" s="121"/>
      <c r="X11" s="121" t="s">
        <v>150</v>
      </c>
      <c r="Y11" s="121"/>
      <c r="Z11" s="125">
        <f>VLOOKUP(D11,원가정보3!$E$5:$K$1048576,5,0)</f>
        <v>98455</v>
      </c>
      <c r="AA11" s="125">
        <f t="shared" si="1"/>
        <v>98455</v>
      </c>
      <c r="AB11" s="96"/>
      <c r="AC11" s="4" t="s">
        <v>170</v>
      </c>
      <c r="AD11" s="95">
        <f>AA31</f>
        <v>99740.294500000004</v>
      </c>
    </row>
    <row r="12" spans="1:30" s="4" customFormat="1">
      <c r="A12" s="121"/>
      <c r="B12" s="121"/>
      <c r="C12" s="127"/>
      <c r="D12" s="126" t="s">
        <v>171</v>
      </c>
      <c r="E12" s="121"/>
      <c r="F12" s="121"/>
      <c r="G12" s="121" t="s">
        <v>172</v>
      </c>
      <c r="H12" s="124"/>
      <c r="I12" s="121"/>
      <c r="J12" s="121"/>
      <c r="K12" s="121"/>
      <c r="L12" s="121" t="s">
        <v>173</v>
      </c>
      <c r="M12" s="121"/>
      <c r="N12" s="121"/>
      <c r="O12" s="122">
        <f>IF('사양 입력'!$G$10="2 CAR",1,0)</f>
        <v>0</v>
      </c>
      <c r="P12" s="121"/>
      <c r="Q12" s="126" t="s">
        <v>174</v>
      </c>
      <c r="R12" s="121"/>
      <c r="S12" s="121"/>
      <c r="T12" s="121"/>
      <c r="U12" s="121"/>
      <c r="V12" s="121"/>
      <c r="W12" s="121"/>
      <c r="X12" s="121" t="s">
        <v>150</v>
      </c>
      <c r="Y12" s="121"/>
      <c r="Z12" s="125">
        <f>VLOOKUP(D12,원가정보3!$E$5:$K$1048576,5,0)</f>
        <v>18270</v>
      </c>
      <c r="AA12" s="125">
        <f t="shared" si="1"/>
        <v>0</v>
      </c>
      <c r="AB12" s="96"/>
      <c r="AC12" s="4" t="s">
        <v>90</v>
      </c>
      <c r="AD12" s="95">
        <f>SUM(AA99:AA104)</f>
        <v>0</v>
      </c>
    </row>
    <row r="13" spans="1:30" s="4" customFormat="1">
      <c r="A13" s="121"/>
      <c r="B13" s="121"/>
      <c r="C13" s="121">
        <v>2</v>
      </c>
      <c r="D13" s="128" t="str">
        <f>"HX062002H"&amp;'DROP DOWN 지정'!AG11&amp;"00"</f>
        <v>HX062002H3000</v>
      </c>
      <c r="E13" s="121"/>
      <c r="F13" s="121"/>
      <c r="G13" s="121" t="s">
        <v>175</v>
      </c>
      <c r="H13" s="124" t="str">
        <f t="shared" si="0"/>
        <v>HX062002H30</v>
      </c>
      <c r="I13" s="121"/>
      <c r="J13" s="121"/>
      <c r="K13" s="121"/>
      <c r="L13" s="121"/>
      <c r="M13" s="121"/>
      <c r="N13" s="121"/>
      <c r="O13" s="126">
        <v>1</v>
      </c>
      <c r="P13" s="121"/>
      <c r="Q13" s="122"/>
      <c r="R13" s="121"/>
      <c r="S13" s="121"/>
      <c r="T13" s="121"/>
      <c r="U13" s="121"/>
      <c r="V13" s="121"/>
      <c r="W13" s="121"/>
      <c r="X13" s="121" t="s">
        <v>150</v>
      </c>
      <c r="Y13" s="121"/>
      <c r="Z13" s="125">
        <f>VLOOKUP(D13,원가정보3!$E$5:$K$1048576,5,0)</f>
        <v>20807</v>
      </c>
      <c r="AA13" s="125">
        <f t="shared" si="1"/>
        <v>20807</v>
      </c>
      <c r="AB13" s="96"/>
    </row>
    <row r="14" spans="1:30" s="4" customFormat="1">
      <c r="A14" s="121"/>
      <c r="B14" s="121"/>
      <c r="C14" s="121">
        <v>2</v>
      </c>
      <c r="D14" s="122" t="str">
        <f>IF('사양 입력'!$C$5&lt;=11.3,"20410089G0600",IF(AND('사양 입력'!$C$5&gt;11.3,'사양 입력'!$C$5&lt;13),"20410089G0700",IF(AND('사양 입력'!$C$5&gt;=13.1,'사양 입력'!$C$5&lt;=14.1),"20410089G1000",IF(AND('사양 입력'!$C$5&gt;=14.2,'사양 입력'!$C$5&lt;=21),"20410089G0100",IF(AND('사양 입력'!$C$5&gt;=21.1,'사양 입력'!$C$5&lt;=26.5),"20410089G0800",IF(AND('사양 입력'!$C$5&gt;=26.6,'사양 입력'!$C$5&lt;=33),"20410089G0400","용량오류"))))))</f>
        <v>20410089G0600</v>
      </c>
      <c r="E14" s="121"/>
      <c r="F14" s="121"/>
      <c r="G14" s="121" t="s">
        <v>176</v>
      </c>
      <c r="H14" s="124" t="str">
        <f t="shared" si="0"/>
        <v>20410089G06</v>
      </c>
      <c r="I14" s="121"/>
      <c r="J14" s="121"/>
      <c r="K14" s="121"/>
      <c r="L14" s="121"/>
      <c r="M14" s="121"/>
      <c r="N14" s="121"/>
      <c r="O14" s="126">
        <v>2</v>
      </c>
      <c r="P14" s="121"/>
      <c r="Q14" s="122"/>
      <c r="R14" s="121"/>
      <c r="S14" s="121"/>
      <c r="T14" s="121"/>
      <c r="U14" s="121"/>
      <c r="V14" s="121"/>
      <c r="W14" s="121"/>
      <c r="X14" s="121" t="s">
        <v>150</v>
      </c>
      <c r="Y14" s="121"/>
      <c r="Z14" s="125">
        <f>VLOOKUP(D14,원가정보3!$E$5:$K$1048576,5,0)</f>
        <v>7612</v>
      </c>
      <c r="AA14" s="125">
        <f t="shared" si="1"/>
        <v>15224</v>
      </c>
      <c r="AB14" s="96"/>
    </row>
    <row r="15" spans="1:30" s="4" customFormat="1">
      <c r="A15" s="121"/>
      <c r="B15" s="121"/>
      <c r="C15" s="121">
        <v>2</v>
      </c>
      <c r="D15" s="122" t="str">
        <f>IF(AND('사양 입력'!$G$9="NO",'사양 입력'!$G$13="AC 220V"),"20401315G0200",IF(AND('사양 입력'!$G$9="NO",'사양 입력'!$G$13="AC 110V"),"20401315G1400",IF(AND('사양 입력'!$G$9="YES",'사양 입력'!$G$13="AC 220V"),"20401315G0300",IF(AND('사양 입력'!$G$9="YES",'사양 입력'!$G$13="AC 110V"),"20401315G1500",FALSE))))</f>
        <v>20401315G0200</v>
      </c>
      <c r="E15" s="121"/>
      <c r="F15" s="121"/>
      <c r="G15" s="121" t="s">
        <v>177</v>
      </c>
      <c r="H15" s="124" t="str">
        <f t="shared" si="0"/>
        <v>20401315G02</v>
      </c>
      <c r="I15" s="121"/>
      <c r="J15" s="121"/>
      <c r="K15" s="121"/>
      <c r="L15" s="121"/>
      <c r="M15" s="121"/>
      <c r="N15" s="121"/>
      <c r="O15" s="126">
        <v>1</v>
      </c>
      <c r="P15" s="121"/>
      <c r="Q15" s="122"/>
      <c r="R15" s="121"/>
      <c r="S15" s="121"/>
      <c r="T15" s="121"/>
      <c r="U15" s="121"/>
      <c r="V15" s="121"/>
      <c r="W15" s="121"/>
      <c r="X15" s="121" t="s">
        <v>150</v>
      </c>
      <c r="Y15" s="121"/>
      <c r="Z15" s="125">
        <f>VLOOKUP(D15,원가정보3!$E$5:$K$1048576,5,0)</f>
        <v>90098</v>
      </c>
      <c r="AA15" s="125">
        <f t="shared" si="1"/>
        <v>90098</v>
      </c>
      <c r="AB15" s="96"/>
    </row>
    <row r="16" spans="1:30" s="4" customFormat="1">
      <c r="A16" s="121"/>
      <c r="B16" s="121"/>
      <c r="C16" s="121">
        <v>2</v>
      </c>
      <c r="D16" s="126" t="s">
        <v>178</v>
      </c>
      <c r="E16" s="121"/>
      <c r="F16" s="121"/>
      <c r="G16" s="121" t="s">
        <v>179</v>
      </c>
      <c r="H16" s="126" t="s">
        <v>180</v>
      </c>
      <c r="I16" s="121"/>
      <c r="J16" s="121"/>
      <c r="K16" s="121"/>
      <c r="L16" s="121"/>
      <c r="M16" s="121"/>
      <c r="N16" s="121"/>
      <c r="O16" s="126">
        <v>1</v>
      </c>
      <c r="P16" s="121"/>
      <c r="Q16" s="122"/>
      <c r="R16" s="121"/>
      <c r="S16" s="121"/>
      <c r="T16" s="121"/>
      <c r="U16" s="121"/>
      <c r="V16" s="121"/>
      <c r="W16" s="121"/>
      <c r="X16" s="121" t="s">
        <v>150</v>
      </c>
      <c r="Y16" s="121"/>
      <c r="Z16" s="125">
        <f>VLOOKUP(D16,원가정보3!$E$5:$K$1048576,5,0)</f>
        <v>17255</v>
      </c>
      <c r="AA16" s="125">
        <f t="shared" si="1"/>
        <v>17255</v>
      </c>
      <c r="AB16" s="96"/>
    </row>
    <row r="17" spans="1:28" s="4" customFormat="1">
      <c r="A17" s="121"/>
      <c r="B17" s="121"/>
      <c r="C17" s="121">
        <v>2</v>
      </c>
      <c r="D17" s="126" t="s">
        <v>181</v>
      </c>
      <c r="E17" s="121"/>
      <c r="F17" s="121"/>
      <c r="G17" s="121" t="s">
        <v>182</v>
      </c>
      <c r="H17" s="126" t="s">
        <v>183</v>
      </c>
      <c r="I17" s="121"/>
      <c r="J17" s="121"/>
      <c r="K17" s="121"/>
      <c r="L17" s="121"/>
      <c r="M17" s="121"/>
      <c r="N17" s="121"/>
      <c r="O17" s="126">
        <v>1</v>
      </c>
      <c r="P17" s="121"/>
      <c r="Q17" s="122"/>
      <c r="R17" s="121"/>
      <c r="S17" s="121"/>
      <c r="T17" s="121"/>
      <c r="U17" s="121"/>
      <c r="V17" s="121"/>
      <c r="W17" s="121"/>
      <c r="X17" s="121" t="s">
        <v>150</v>
      </c>
      <c r="Y17" s="121"/>
      <c r="Z17" s="125">
        <f>VLOOKUP(D17,원가정보3!$E$5:$K$1048576,5,0)</f>
        <v>339.41599999999994</v>
      </c>
      <c r="AA17" s="125">
        <f t="shared" si="1"/>
        <v>339.41599999999994</v>
      </c>
      <c r="AB17" s="96"/>
    </row>
    <row r="18" spans="1:28" s="4" customFormat="1">
      <c r="A18" s="121"/>
      <c r="B18" s="121"/>
      <c r="C18" s="121">
        <v>2</v>
      </c>
      <c r="D18" s="126" t="s">
        <v>184</v>
      </c>
      <c r="E18" s="121"/>
      <c r="F18" s="121"/>
      <c r="G18" s="121" t="s">
        <v>185</v>
      </c>
      <c r="H18" s="126" t="s">
        <v>186</v>
      </c>
      <c r="I18" s="121"/>
      <c r="J18" s="121"/>
      <c r="K18" s="121"/>
      <c r="L18" s="121" t="s">
        <v>173</v>
      </c>
      <c r="M18" s="121"/>
      <c r="N18" s="121"/>
      <c r="O18" s="126">
        <v>2</v>
      </c>
      <c r="P18" s="121"/>
      <c r="Q18" s="122"/>
      <c r="R18" s="121"/>
      <c r="S18" s="121"/>
      <c r="T18" s="121"/>
      <c r="U18" s="121"/>
      <c r="V18" s="121"/>
      <c r="W18" s="121"/>
      <c r="X18" s="121" t="s">
        <v>150</v>
      </c>
      <c r="Y18" s="121"/>
      <c r="Z18" s="125">
        <f>VLOOKUP(D18,원가정보3!$E$5:$K$1048576,5,0)</f>
        <v>13195</v>
      </c>
      <c r="AA18" s="125">
        <f t="shared" si="1"/>
        <v>26390</v>
      </c>
      <c r="AB18" s="96"/>
    </row>
    <row r="19" spans="1:28" s="4" customFormat="1" outlineLevel="1">
      <c r="A19" s="121" t="s">
        <v>187</v>
      </c>
      <c r="B19" s="121"/>
      <c r="C19" s="127">
        <v>1</v>
      </c>
      <c r="D19" s="121" t="s">
        <v>188</v>
      </c>
      <c r="E19" s="121">
        <v>490</v>
      </c>
      <c r="F19" s="121" t="s">
        <v>189</v>
      </c>
      <c r="G19" s="121" t="s">
        <v>190</v>
      </c>
      <c r="H19" s="121" t="s">
        <v>191</v>
      </c>
      <c r="I19" s="121" t="s">
        <v>192</v>
      </c>
      <c r="J19" s="121" t="s">
        <v>193</v>
      </c>
      <c r="K19" s="121" t="s">
        <v>194</v>
      </c>
      <c r="L19" s="121" t="s">
        <v>173</v>
      </c>
      <c r="M19" s="121"/>
      <c r="N19" s="121">
        <v>1</v>
      </c>
      <c r="O19" s="171">
        <v>1</v>
      </c>
      <c r="P19" s="129"/>
      <c r="Q19" s="130"/>
      <c r="R19" s="130"/>
      <c r="S19" s="129"/>
      <c r="T19" s="121" t="s">
        <v>195</v>
      </c>
      <c r="U19" s="121" t="s">
        <v>196</v>
      </c>
      <c r="V19" s="121"/>
      <c r="W19" s="121" t="s">
        <v>197</v>
      </c>
      <c r="X19" s="121" t="s">
        <v>150</v>
      </c>
      <c r="Y19" s="121"/>
      <c r="Z19" s="125">
        <f>VLOOKUP(D19,원가정보3!$E$5:$K$1048576,5,0)</f>
        <v>12768</v>
      </c>
      <c r="AA19" s="125">
        <f t="shared" si="1"/>
        <v>12768</v>
      </c>
      <c r="AB19" s="96"/>
    </row>
    <row r="20" spans="1:28" s="4" customFormat="1" ht="18" customHeight="1" outlineLevel="1">
      <c r="A20" s="121"/>
      <c r="B20" s="121"/>
      <c r="C20" s="127"/>
      <c r="D20" s="121" t="s">
        <v>198</v>
      </c>
      <c r="E20" s="121">
        <v>680</v>
      </c>
      <c r="F20" s="121" t="s">
        <v>189</v>
      </c>
      <c r="G20" s="121" t="s">
        <v>199</v>
      </c>
      <c r="H20" s="121" t="s">
        <v>200</v>
      </c>
      <c r="I20" s="121" t="s">
        <v>192</v>
      </c>
      <c r="J20" s="121" t="s">
        <v>193</v>
      </c>
      <c r="K20" s="121" t="s">
        <v>201</v>
      </c>
      <c r="L20" s="121" t="s">
        <v>202</v>
      </c>
      <c r="M20" s="121"/>
      <c r="N20" s="121"/>
      <c r="O20" s="131">
        <f>IF('DROP DOWN 지정'!$X$35&gt;3000,1,0)</f>
        <v>0</v>
      </c>
      <c r="P20" s="129"/>
      <c r="Q20" s="130" t="s">
        <v>203</v>
      </c>
      <c r="R20" s="130"/>
      <c r="S20" s="129"/>
      <c r="T20" s="121" t="s">
        <v>204</v>
      </c>
      <c r="U20" s="121" t="s">
        <v>205</v>
      </c>
      <c r="V20" s="121"/>
      <c r="W20" s="121" t="s">
        <v>197</v>
      </c>
      <c r="X20" s="121" t="s">
        <v>150</v>
      </c>
      <c r="Y20" s="121"/>
      <c r="Z20" s="125">
        <f>VLOOKUP(D20,원가정보3!$E$5:$K$1048576,5,0)</f>
        <v>142100</v>
      </c>
      <c r="AA20" s="125">
        <f t="shared" si="1"/>
        <v>0</v>
      </c>
      <c r="AB20" s="96"/>
    </row>
    <row r="21" spans="1:28" s="4" customFormat="1" ht="18" customHeight="1" outlineLevel="1">
      <c r="A21" s="121"/>
      <c r="B21" s="121"/>
      <c r="C21" s="127"/>
      <c r="D21" s="121" t="s">
        <v>206</v>
      </c>
      <c r="E21" s="121">
        <v>600</v>
      </c>
      <c r="F21" s="121" t="s">
        <v>189</v>
      </c>
      <c r="G21" s="121" t="s">
        <v>207</v>
      </c>
      <c r="H21" s="121" t="s">
        <v>208</v>
      </c>
      <c r="I21" s="121" t="s">
        <v>192</v>
      </c>
      <c r="J21" s="121" t="s">
        <v>193</v>
      </c>
      <c r="K21" s="121" t="s">
        <v>209</v>
      </c>
      <c r="L21" s="121" t="s">
        <v>202</v>
      </c>
      <c r="M21" s="121"/>
      <c r="N21" s="121"/>
      <c r="O21" s="131">
        <f>IF('사양 입력'!$C$14&gt;31000,1,0)</f>
        <v>1</v>
      </c>
      <c r="P21" s="129"/>
      <c r="Q21" s="130" t="s">
        <v>203</v>
      </c>
      <c r="R21" s="130"/>
      <c r="S21" s="129"/>
      <c r="T21" s="121" t="s">
        <v>210</v>
      </c>
      <c r="U21" s="121"/>
      <c r="V21" s="121"/>
      <c r="W21" s="121"/>
      <c r="X21" s="121" t="s">
        <v>150</v>
      </c>
      <c r="Y21" s="121"/>
      <c r="Z21" s="125">
        <f>VLOOKUP(D21,원가정보3!$E$5:$K$1048576,5,0)</f>
        <v>20300</v>
      </c>
      <c r="AA21" s="125">
        <f t="shared" si="1"/>
        <v>20300</v>
      </c>
      <c r="AB21" s="96"/>
    </row>
    <row r="22" spans="1:28" s="4" customFormat="1">
      <c r="A22" s="121"/>
      <c r="B22" s="121"/>
      <c r="C22" s="121">
        <v>1</v>
      </c>
      <c r="D22" s="122" t="str">
        <f>IF($T$22&lt;=15,"20610102G0900",IF(AND($T$22&gt;=22,$T$22&lt;=30),"20610102G1100","용량오류"))</f>
        <v>20610102G0900</v>
      </c>
      <c r="E22" s="121"/>
      <c r="F22" s="121"/>
      <c r="G22" s="121" t="s">
        <v>211</v>
      </c>
      <c r="H22" s="124" t="str">
        <f t="shared" si="0"/>
        <v>20610102G09</v>
      </c>
      <c r="I22" s="121"/>
      <c r="J22" s="121"/>
      <c r="K22" s="121"/>
      <c r="L22" s="121"/>
      <c r="M22" s="121"/>
      <c r="N22" s="121"/>
      <c r="O22" s="121">
        <v>1</v>
      </c>
      <c r="P22" s="121"/>
      <c r="Q22" s="121"/>
      <c r="R22" s="121" t="s">
        <v>212</v>
      </c>
      <c r="S22" s="132" t="str">
        <f>SUBSTITUTE('사양 입력'!C16,"KW","")</f>
        <v>7.5</v>
      </c>
      <c r="T22" s="132">
        <f>S22*1</f>
        <v>7.5</v>
      </c>
      <c r="U22" s="121"/>
      <c r="V22" s="121"/>
      <c r="W22" s="121"/>
      <c r="X22" s="121" t="s">
        <v>150</v>
      </c>
      <c r="Y22" s="121"/>
      <c r="Z22" s="125">
        <f>VLOOKUP(D22,원가정보3!$E$5:$K$1048576,5,0)</f>
        <v>617123.10000000009</v>
      </c>
      <c r="AA22" s="125">
        <f t="shared" si="1"/>
        <v>617123.10000000009</v>
      </c>
      <c r="AB22" s="96"/>
    </row>
    <row r="23" spans="1:28" s="4" customFormat="1">
      <c r="A23" s="121"/>
      <c r="B23" s="121"/>
      <c r="C23" s="121"/>
      <c r="D23" s="121" t="s">
        <v>213</v>
      </c>
      <c r="E23" s="121">
        <v>1390</v>
      </c>
      <c r="F23" s="121" t="s">
        <v>189</v>
      </c>
      <c r="G23" s="121" t="s">
        <v>214</v>
      </c>
      <c r="H23" s="121" t="s">
        <v>215</v>
      </c>
      <c r="I23" s="121" t="s">
        <v>192</v>
      </c>
      <c r="J23" s="121" t="s">
        <v>193</v>
      </c>
      <c r="K23" s="121" t="s">
        <v>216</v>
      </c>
      <c r="L23" s="121" t="s">
        <v>202</v>
      </c>
      <c r="M23" s="121"/>
      <c r="N23" s="121"/>
      <c r="O23" s="131">
        <f>O21</f>
        <v>1</v>
      </c>
      <c r="P23" s="129"/>
      <c r="Q23" s="130"/>
      <c r="R23" s="130"/>
      <c r="S23" s="129"/>
      <c r="T23" s="121" t="s">
        <v>217</v>
      </c>
      <c r="U23" s="121"/>
      <c r="V23" s="121"/>
      <c r="W23" s="121"/>
      <c r="X23" s="121" t="s">
        <v>150</v>
      </c>
      <c r="Y23" s="121"/>
      <c r="Z23" s="125">
        <f>VLOOKUP(D23,원가정보3!$E$5:$K$1048576,5,0)</f>
        <v>6830</v>
      </c>
      <c r="AA23" s="125">
        <f t="shared" si="1"/>
        <v>6830</v>
      </c>
      <c r="AB23" s="96"/>
    </row>
    <row r="24" spans="1:28" s="86" customFormat="1">
      <c r="A24" s="121"/>
      <c r="B24" s="121"/>
      <c r="C24" s="121"/>
      <c r="D24" s="121" t="str">
        <f>REPLACE($D$25,9,1,"P")</f>
        <v>ERROR00P</v>
      </c>
      <c r="E24" s="121"/>
      <c r="F24" s="121"/>
      <c r="G24" s="123" t="s">
        <v>218</v>
      </c>
      <c r="H24" s="121"/>
      <c r="I24" s="121"/>
      <c r="J24" s="121"/>
      <c r="K24" s="121"/>
      <c r="L24" s="121"/>
      <c r="M24" s="121"/>
      <c r="N24" s="121"/>
      <c r="O24" s="133">
        <v>1</v>
      </c>
      <c r="P24" s="129"/>
      <c r="Q24" s="130"/>
      <c r="R24" s="130"/>
      <c r="S24" s="129"/>
      <c r="T24" s="121"/>
      <c r="U24" s="121"/>
      <c r="V24" s="121"/>
      <c r="W24" s="121"/>
      <c r="X24" s="121" t="s">
        <v>150</v>
      </c>
      <c r="Y24" s="121"/>
      <c r="Z24" s="125" t="e">
        <f>VLOOKUP(D24,원가정보3!$E$5:$K$1048576,5,0)</f>
        <v>#N/A</v>
      </c>
      <c r="AA24" s="125" t="e">
        <f t="shared" si="1"/>
        <v>#N/A</v>
      </c>
      <c r="AB24" s="87"/>
    </row>
    <row r="25" spans="1:28" s="86" customFormat="1" ht="18" customHeight="1" outlineLevel="1">
      <c r="A25" s="121"/>
      <c r="B25" s="121"/>
      <c r="C25" s="127"/>
      <c r="D25" s="121" t="str">
        <f>H25&amp;"00"</f>
        <v>ERROR00</v>
      </c>
      <c r="E25" s="121"/>
      <c r="F25" s="121"/>
      <c r="G25" s="121" t="s">
        <v>219</v>
      </c>
      <c r="H25" s="121" t="str">
        <f>IF('사양 입력'!$G$4="MRL",VLOOKUP('사양 입력'!$G$4&amp;'사양 입력'!$G$5&amp;'사양 입력'!$G$6&amp;'사양 입력'!$G$7&amp;'사양 입력'!$C$16&amp;'사양 입력'!$G$12&amp;'사양 입력'!$G$11,'CP ASSY'!$U$12:$Z$251,4,FALSE),"ERROR")</f>
        <v>ERROR</v>
      </c>
      <c r="I25" s="121"/>
      <c r="J25" s="121"/>
      <c r="K25" s="121"/>
      <c r="L25" s="121"/>
      <c r="M25" s="121"/>
      <c r="N25" s="121"/>
      <c r="O25" s="133">
        <v>1</v>
      </c>
      <c r="P25" s="129"/>
      <c r="Q25" s="130"/>
      <c r="R25" s="130"/>
      <c r="S25" s="129"/>
      <c r="T25" s="121"/>
      <c r="U25" s="121"/>
      <c r="V25" s="121"/>
      <c r="W25" s="121"/>
      <c r="X25" s="121" t="s">
        <v>150</v>
      </c>
      <c r="Y25" s="121"/>
      <c r="Z25" s="125" t="e">
        <f>VLOOKUP(D25,원가정보3!$E$5:$K$1048576,5,0)</f>
        <v>#N/A</v>
      </c>
      <c r="AA25" s="125" t="e">
        <f t="shared" si="1"/>
        <v>#N/A</v>
      </c>
      <c r="AB25" s="87"/>
    </row>
    <row r="26" spans="1:28" s="86" customFormat="1" ht="18" customHeight="1" outlineLevel="1">
      <c r="A26" s="121"/>
      <c r="B26" s="121"/>
      <c r="C26" s="127"/>
      <c r="D26" s="121" t="str">
        <f>IF('사양 입력'!$G$4="MRL",VLOOKUP('사양 입력'!$G$4&amp;'사양 입력'!$G$5&amp;'사양 입력'!$G$6&amp;'사양 입력'!$G$7&amp;'사양 입력'!$C$16&amp;'사양 입력'!$G$12&amp;'사양 입력'!$G$11,'CP ASSY'!$U$12:$Z$251,6,FALSE),"ERROR")</f>
        <v>ERROR</v>
      </c>
      <c r="E26" s="121"/>
      <c r="F26" s="121"/>
      <c r="G26" s="121" t="s">
        <v>220</v>
      </c>
      <c r="H26" s="121" t="str">
        <f t="shared" si="0"/>
        <v>ERROR</v>
      </c>
      <c r="I26" s="121"/>
      <c r="J26" s="121"/>
      <c r="K26" s="121"/>
      <c r="L26" s="121"/>
      <c r="M26" s="121"/>
      <c r="N26" s="121"/>
      <c r="O26" s="131">
        <f>IF('사양 입력'!$G$6="일반형",1,2)</f>
        <v>1</v>
      </c>
      <c r="P26" s="129"/>
      <c r="Q26" s="130"/>
      <c r="R26" s="130"/>
      <c r="S26" s="129"/>
      <c r="T26" s="121"/>
      <c r="U26" s="121"/>
      <c r="V26" s="121"/>
      <c r="W26" s="121"/>
      <c r="X26" s="121" t="s">
        <v>150</v>
      </c>
      <c r="Y26" s="121"/>
      <c r="Z26" s="125" t="e">
        <f>VLOOKUP(D26,원가정보3!$E$5:$K$1048576,5,0)</f>
        <v>#N/A</v>
      </c>
      <c r="AA26" s="125" t="e">
        <f>Z26*O26</f>
        <v>#N/A</v>
      </c>
      <c r="AB26" s="87"/>
    </row>
    <row r="27" spans="1:28" s="86" customFormat="1" ht="18" customHeight="1" outlineLevel="1">
      <c r="A27" s="121"/>
      <c r="B27" s="121"/>
      <c r="C27" s="127"/>
      <c r="D27" s="342" t="s">
        <v>221</v>
      </c>
      <c r="E27" s="121"/>
      <c r="F27" s="121"/>
      <c r="G27" s="45" t="s">
        <v>222</v>
      </c>
      <c r="H27" s="121" t="s">
        <v>223</v>
      </c>
      <c r="I27" s="121"/>
      <c r="J27" s="121"/>
      <c r="K27" s="121"/>
      <c r="L27" s="121"/>
      <c r="M27" s="121"/>
      <c r="N27" s="121"/>
      <c r="O27" s="133">
        <v>1</v>
      </c>
      <c r="P27" s="129"/>
      <c r="Q27" s="130"/>
      <c r="R27" s="130"/>
      <c r="S27" s="129"/>
      <c r="T27" s="121"/>
      <c r="U27" s="121"/>
      <c r="V27" s="121"/>
      <c r="W27" s="121"/>
      <c r="X27" s="121" t="s">
        <v>224</v>
      </c>
      <c r="Y27" s="121"/>
      <c r="Z27" s="125">
        <f>VLOOKUP(D27,원가정보3!$E$5:$K$1048576,5,0)</f>
        <v>12078</v>
      </c>
      <c r="AA27" s="125">
        <f>Z27*O27</f>
        <v>12078</v>
      </c>
      <c r="AB27" s="3" t="s">
        <v>225</v>
      </c>
    </row>
    <row r="28" spans="1:28" s="4" customFormat="1">
      <c r="A28" s="121"/>
      <c r="B28" s="121"/>
      <c r="C28" s="121">
        <v>1</v>
      </c>
      <c r="D28" s="122" t="str">
        <f>IF($T$22&lt;=7.5,"20610066G0100",IF($T$22=11,"20610066G0200",IF($T$22=15,"20610066G0300",IF($T$22=22,"20610066G0400","용량오류"))))</f>
        <v>20610066G0100</v>
      </c>
      <c r="E28" s="121"/>
      <c r="F28" s="121"/>
      <c r="G28" s="121" t="s">
        <v>226</v>
      </c>
      <c r="H28" s="124" t="str">
        <f t="shared" si="0"/>
        <v>20610066G01</v>
      </c>
      <c r="I28" s="121"/>
      <c r="J28" s="121"/>
      <c r="K28" s="121"/>
      <c r="L28" s="121"/>
      <c r="M28" s="121"/>
      <c r="N28" s="121"/>
      <c r="O28" s="121">
        <v>5</v>
      </c>
      <c r="P28" s="121"/>
      <c r="Q28" s="121"/>
      <c r="R28" s="121"/>
      <c r="S28" s="121"/>
      <c r="T28" s="121"/>
      <c r="U28" s="121"/>
      <c r="V28" s="121"/>
      <c r="W28" s="121"/>
      <c r="X28" s="121" t="s">
        <v>150</v>
      </c>
      <c r="Y28" s="121"/>
      <c r="Z28" s="125">
        <f>VLOOKUP(D28,원가정보3!$E$5:$K$1048576,5,0)</f>
        <v>5075</v>
      </c>
      <c r="AA28" s="125">
        <f t="shared" si="1"/>
        <v>25375</v>
      </c>
      <c r="AB28" s="96"/>
    </row>
    <row r="29" spans="1:28" s="4" customFormat="1">
      <c r="A29" s="121"/>
      <c r="B29" s="121"/>
      <c r="C29" s="121">
        <v>1</v>
      </c>
      <c r="D29" s="122" t="str">
        <f>IF($T$22&lt;=7.5,"20610072G0100",IF($T$22=11,"20610072G0300",IF($T$22=15,"20610072G0500",IF($T$22=22,"20610072G0700","용량오류"))))</f>
        <v>20610072G0100</v>
      </c>
      <c r="E29" s="121"/>
      <c r="F29" s="121"/>
      <c r="G29" s="121" t="s">
        <v>227</v>
      </c>
      <c r="H29" s="124" t="str">
        <f t="shared" si="0"/>
        <v>20610072G01</v>
      </c>
      <c r="I29" s="121"/>
      <c r="J29" s="121"/>
      <c r="K29" s="121"/>
      <c r="L29" s="121"/>
      <c r="M29" s="121"/>
      <c r="N29" s="121"/>
      <c r="O29" s="121">
        <v>1</v>
      </c>
      <c r="P29" s="121"/>
      <c r="Q29" s="121"/>
      <c r="R29" s="121"/>
      <c r="S29" s="121"/>
      <c r="T29" s="121"/>
      <c r="U29" s="121"/>
      <c r="V29" s="121"/>
      <c r="W29" s="121"/>
      <c r="X29" s="121" t="s">
        <v>150</v>
      </c>
      <c r="Y29" s="121"/>
      <c r="Z29" s="125">
        <f>VLOOKUP(D29,원가정보3!$E$5:$K$1048576,5,0)</f>
        <v>10159.6</v>
      </c>
      <c r="AA29" s="125">
        <f t="shared" si="1"/>
        <v>10159.6</v>
      </c>
      <c r="AB29" s="96"/>
    </row>
    <row r="30" spans="1:28" s="4" customFormat="1">
      <c r="A30" s="121"/>
      <c r="B30" s="121"/>
      <c r="C30" s="121">
        <v>1</v>
      </c>
      <c r="D30" s="122" t="str">
        <f>IF('사양 입력'!$C$16="7.5KW","20401225G0300",IF('사양 입력'!$C$16="11KW","20401225G0900",IF('사양 입력'!$C$16="15KW","20401225G1900",IF('사양 입력'!$C$16="22KW","20410388G0300","용량오류"))))</f>
        <v>20401225G0300</v>
      </c>
      <c r="E30" s="121"/>
      <c r="F30" s="121"/>
      <c r="G30" s="121" t="s">
        <v>228</v>
      </c>
      <c r="H30" s="124" t="str">
        <f>LEFT(D30,11)</f>
        <v>20401225G03</v>
      </c>
      <c r="I30" s="121"/>
      <c r="J30" s="121"/>
      <c r="K30" s="121"/>
      <c r="L30" s="121"/>
      <c r="M30" s="121"/>
      <c r="N30" s="121"/>
      <c r="O30" s="121">
        <v>1</v>
      </c>
      <c r="P30" s="121"/>
      <c r="Q30" s="121"/>
      <c r="R30" s="121"/>
      <c r="S30" s="121"/>
      <c r="T30" s="121"/>
      <c r="U30" s="121"/>
      <c r="V30" s="121"/>
      <c r="W30" s="121"/>
      <c r="X30" s="121" t="s">
        <v>150</v>
      </c>
      <c r="Y30" s="121"/>
      <c r="Z30" s="125">
        <f>VLOOKUP(D30,원가정보3!$E$5:$K$1048576,5,0)</f>
        <v>69020</v>
      </c>
      <c r="AA30" s="125">
        <f t="shared" si="1"/>
        <v>69020</v>
      </c>
      <c r="AB30" s="96"/>
    </row>
    <row r="31" spans="1:28" s="4" customFormat="1" ht="34.799999999999997" outlineLevel="1">
      <c r="A31" s="99" t="s">
        <v>229</v>
      </c>
      <c r="B31" s="99"/>
      <c r="C31" s="102">
        <v>1</v>
      </c>
      <c r="D31" s="104" t="str">
        <f>IF('사양 입력'!$C$8=30,"24110040G1100",IF('사양 입력'!$C$8=45,"24110040G1200",IF('사양 입력'!$C$8=60,"24110040G1300",IF('사양 입력'!$C$8=90,"24110040G1400",IF('사양 입력'!$C$8=105,"24110040G1500",IF('사양 입력'!$C$8=120,"24110040G1600",IF('사양 입력'!$C$8=150,"24110040G1700",FALSE)))))))</f>
        <v>24110040G1300</v>
      </c>
      <c r="E31" s="99">
        <v>1560</v>
      </c>
      <c r="F31" s="99" t="s">
        <v>193</v>
      </c>
      <c r="G31" s="99" t="s">
        <v>230</v>
      </c>
      <c r="H31" s="100" t="str">
        <f>LEFT(D31,11)</f>
        <v>24110040G13</v>
      </c>
      <c r="I31" s="99" t="s">
        <v>192</v>
      </c>
      <c r="J31" s="99" t="s">
        <v>193</v>
      </c>
      <c r="K31" s="99" t="s">
        <v>231</v>
      </c>
      <c r="L31" s="99" t="s">
        <v>173</v>
      </c>
      <c r="M31" s="99"/>
      <c r="N31" s="99"/>
      <c r="O31" s="105">
        <v>1</v>
      </c>
      <c r="P31" s="105"/>
      <c r="Q31" s="106" t="s">
        <v>232</v>
      </c>
      <c r="R31" s="106"/>
      <c r="S31" s="105"/>
      <c r="T31" s="99" t="s">
        <v>233</v>
      </c>
      <c r="U31" s="99" t="s">
        <v>234</v>
      </c>
      <c r="V31" s="99"/>
      <c r="W31" s="99" t="s">
        <v>197</v>
      </c>
      <c r="X31" s="99" t="s">
        <v>150</v>
      </c>
      <c r="Y31" s="99"/>
      <c r="Z31" s="101">
        <f>VLOOKUP(D31,원가정보3!$E$5:$K$1048576,5,0)</f>
        <v>99740.294500000004</v>
      </c>
      <c r="AA31" s="98">
        <f t="shared" si="1"/>
        <v>99740.294500000004</v>
      </c>
      <c r="AB31" s="96"/>
    </row>
    <row r="32" spans="1:28" s="4" customFormat="1" outlineLevel="1">
      <c r="A32" s="99" t="s">
        <v>235</v>
      </c>
      <c r="B32" s="99"/>
      <c r="C32" s="102">
        <v>1</v>
      </c>
      <c r="D32" s="99" t="s">
        <v>236</v>
      </c>
      <c r="E32" s="99">
        <v>1570</v>
      </c>
      <c r="F32" s="99" t="s">
        <v>189</v>
      </c>
      <c r="G32" s="99" t="s">
        <v>237</v>
      </c>
      <c r="H32" s="99" t="s">
        <v>238</v>
      </c>
      <c r="I32" s="99" t="s">
        <v>192</v>
      </c>
      <c r="J32" s="99" t="s">
        <v>193</v>
      </c>
      <c r="K32" s="99" t="s">
        <v>239</v>
      </c>
      <c r="L32" s="99" t="s">
        <v>173</v>
      </c>
      <c r="M32" s="99"/>
      <c r="N32" s="99"/>
      <c r="O32" s="105">
        <v>1</v>
      </c>
      <c r="P32" s="105"/>
      <c r="Q32" s="106"/>
      <c r="R32" s="106"/>
      <c r="S32" s="105"/>
      <c r="T32" s="99" t="s">
        <v>240</v>
      </c>
      <c r="U32" s="99" t="s">
        <v>241</v>
      </c>
      <c r="V32" s="99"/>
      <c r="W32" s="99" t="s">
        <v>197</v>
      </c>
      <c r="X32" s="99" t="s">
        <v>150</v>
      </c>
      <c r="Y32" s="99"/>
      <c r="Z32" s="101">
        <f>VLOOKUP(D32,원가정보3!$E$5:$K$1048576,5,0)</f>
        <v>43654.600000000006</v>
      </c>
      <c r="AA32" s="98">
        <f t="shared" si="1"/>
        <v>43654.600000000006</v>
      </c>
      <c r="AB32" s="96"/>
    </row>
    <row r="33" spans="1:28" s="4" customFormat="1" outlineLevel="1">
      <c r="A33" s="99" t="s">
        <v>242</v>
      </c>
      <c r="B33" s="99"/>
      <c r="C33" s="102">
        <v>1</v>
      </c>
      <c r="D33" s="99" t="s">
        <v>243</v>
      </c>
      <c r="E33" s="99">
        <v>1580</v>
      </c>
      <c r="F33" s="99" t="s">
        <v>189</v>
      </c>
      <c r="G33" s="99" t="s">
        <v>244</v>
      </c>
      <c r="H33" s="99" t="s">
        <v>245</v>
      </c>
      <c r="I33" s="99" t="s">
        <v>192</v>
      </c>
      <c r="J33" s="99" t="s">
        <v>193</v>
      </c>
      <c r="K33" s="99" t="s">
        <v>246</v>
      </c>
      <c r="L33" s="99" t="s">
        <v>173</v>
      </c>
      <c r="M33" s="99"/>
      <c r="N33" s="99"/>
      <c r="O33" s="108">
        <f>'사양 입력'!C7</f>
        <v>15</v>
      </c>
      <c r="P33" s="105"/>
      <c r="Q33" s="106" t="s">
        <v>247</v>
      </c>
      <c r="R33" s="106"/>
      <c r="S33" s="105"/>
      <c r="T33" s="99" t="s">
        <v>248</v>
      </c>
      <c r="U33" s="99" t="s">
        <v>249</v>
      </c>
      <c r="V33" s="99"/>
      <c r="W33" s="99" t="s">
        <v>197</v>
      </c>
      <c r="X33" s="99" t="s">
        <v>150</v>
      </c>
      <c r="Y33" s="99"/>
      <c r="Z33" s="101">
        <f>VLOOKUP(D33,원가정보3!$E$5:$K$1048576,5,0)</f>
        <v>3390.2000000000003</v>
      </c>
      <c r="AA33" s="98">
        <f t="shared" si="1"/>
        <v>50853.000000000007</v>
      </c>
      <c r="AB33" s="96"/>
    </row>
    <row r="34" spans="1:28" s="4" customFormat="1" outlineLevel="1">
      <c r="A34" s="99" t="s">
        <v>250</v>
      </c>
      <c r="B34" s="99"/>
      <c r="C34" s="102">
        <v>1</v>
      </c>
      <c r="D34" s="99" t="s">
        <v>251</v>
      </c>
      <c r="E34" s="99">
        <v>1590</v>
      </c>
      <c r="F34" s="99" t="s">
        <v>189</v>
      </c>
      <c r="G34" s="99" t="s">
        <v>252</v>
      </c>
      <c r="H34" s="99" t="s">
        <v>253</v>
      </c>
      <c r="I34" s="99" t="s">
        <v>192</v>
      </c>
      <c r="J34" s="99" t="s">
        <v>193</v>
      </c>
      <c r="K34" s="99" t="s">
        <v>254</v>
      </c>
      <c r="L34" s="99" t="s">
        <v>173</v>
      </c>
      <c r="M34" s="99"/>
      <c r="N34" s="99"/>
      <c r="O34" s="107">
        <f>ROUNDUP(O33/5,0)</f>
        <v>3</v>
      </c>
      <c r="P34" s="105"/>
      <c r="Q34" s="106"/>
      <c r="R34" s="106"/>
      <c r="S34" s="105"/>
      <c r="T34" s="99" t="s">
        <v>255</v>
      </c>
      <c r="U34" s="99" t="s">
        <v>234</v>
      </c>
      <c r="V34" s="99"/>
      <c r="W34" s="99" t="s">
        <v>197</v>
      </c>
      <c r="X34" s="99" t="s">
        <v>150</v>
      </c>
      <c r="Y34" s="99"/>
      <c r="Z34" s="101">
        <f>VLOOKUP(D34,원가정보3!$E$5:$K$1048576,5,0)</f>
        <v>806.30000000000007</v>
      </c>
      <c r="AA34" s="98">
        <f t="shared" si="1"/>
        <v>2418.9</v>
      </c>
      <c r="AB34" s="96"/>
    </row>
    <row r="35" spans="1:28" s="4" customFormat="1" ht="208.8" outlineLevel="1">
      <c r="A35" s="141" t="s">
        <v>256</v>
      </c>
      <c r="B35" s="141"/>
      <c r="C35" s="142">
        <v>1</v>
      </c>
      <c r="D35" s="143" t="str">
        <f>IF('사양 입력'!$C$7&lt;10,"25900914G0"&amp;'사양 입력'!$C$7&amp;"00","25900914G"&amp;'사양 입력'!$C$7&amp;"00")</f>
        <v>25900914G1500</v>
      </c>
      <c r="E35" s="141">
        <v>1600</v>
      </c>
      <c r="F35" s="141" t="s">
        <v>189</v>
      </c>
      <c r="G35" s="141" t="s">
        <v>257</v>
      </c>
      <c r="H35" s="144" t="str">
        <f>LEFT(D35,11)</f>
        <v>25900914G15</v>
      </c>
      <c r="I35" s="141" t="s">
        <v>192</v>
      </c>
      <c r="J35" s="141" t="s">
        <v>258</v>
      </c>
      <c r="K35" s="141" t="s">
        <v>259</v>
      </c>
      <c r="L35" s="141" t="s">
        <v>173</v>
      </c>
      <c r="M35" s="141"/>
      <c r="N35" s="141"/>
      <c r="O35" s="145">
        <v>1</v>
      </c>
      <c r="P35" s="145"/>
      <c r="Q35" s="146" t="s">
        <v>260</v>
      </c>
      <c r="R35" s="146"/>
      <c r="S35" s="145"/>
      <c r="T35" s="141" t="s">
        <v>261</v>
      </c>
      <c r="U35" s="141" t="s">
        <v>262</v>
      </c>
      <c r="V35" s="141"/>
      <c r="W35" s="141" t="s">
        <v>197</v>
      </c>
      <c r="X35" s="141" t="s">
        <v>150</v>
      </c>
      <c r="Y35" s="141"/>
      <c r="Z35" s="147">
        <f>VLOOKUP(D35,원가정보3!$E$5:$K$1048576,5,0)</f>
        <v>201983.1</v>
      </c>
      <c r="AA35" s="147">
        <f t="shared" si="1"/>
        <v>201983.1</v>
      </c>
      <c r="AB35" s="96"/>
    </row>
    <row r="36" spans="1:28" s="4" customFormat="1" outlineLevel="1">
      <c r="A36" s="141" t="s">
        <v>263</v>
      </c>
      <c r="B36" s="141"/>
      <c r="C36" s="142">
        <v>1</v>
      </c>
      <c r="D36" s="141" t="s">
        <v>264</v>
      </c>
      <c r="E36" s="141">
        <v>1610</v>
      </c>
      <c r="F36" s="141" t="s">
        <v>189</v>
      </c>
      <c r="G36" s="141" t="s">
        <v>257</v>
      </c>
      <c r="H36" s="141" t="s">
        <v>265</v>
      </c>
      <c r="I36" s="141" t="s">
        <v>192</v>
      </c>
      <c r="J36" s="141" t="s">
        <v>258</v>
      </c>
      <c r="K36" s="141" t="s">
        <v>266</v>
      </c>
      <c r="L36" s="141" t="s">
        <v>173</v>
      </c>
      <c r="M36" s="141"/>
      <c r="N36" s="141"/>
      <c r="O36" s="145">
        <v>1</v>
      </c>
      <c r="P36" s="145"/>
      <c r="Q36" s="146"/>
      <c r="R36" s="146"/>
      <c r="S36" s="145"/>
      <c r="T36" s="141" t="s">
        <v>267</v>
      </c>
      <c r="U36" s="141" t="s">
        <v>234</v>
      </c>
      <c r="V36" s="141"/>
      <c r="W36" s="141" t="s">
        <v>197</v>
      </c>
      <c r="X36" s="141" t="s">
        <v>150</v>
      </c>
      <c r="Y36" s="141"/>
      <c r="Z36" s="147">
        <f>VLOOKUP(D36,원가정보3!$E$5:$K$1048576,5,0)</f>
        <v>13311.1</v>
      </c>
      <c r="AA36" s="147">
        <f t="shared" si="1"/>
        <v>13311.1</v>
      </c>
      <c r="AB36" s="96"/>
    </row>
    <row r="37" spans="1:28" s="4" customFormat="1" outlineLevel="1">
      <c r="A37" s="141" t="s">
        <v>268</v>
      </c>
      <c r="B37" s="141"/>
      <c r="C37" s="142">
        <v>1</v>
      </c>
      <c r="D37" s="141" t="s">
        <v>269</v>
      </c>
      <c r="E37" s="141">
        <v>1620</v>
      </c>
      <c r="F37" s="141" t="s">
        <v>189</v>
      </c>
      <c r="G37" s="141" t="s">
        <v>270</v>
      </c>
      <c r="H37" s="141" t="s">
        <v>271</v>
      </c>
      <c r="I37" s="141" t="s">
        <v>192</v>
      </c>
      <c r="J37" s="141" t="s">
        <v>258</v>
      </c>
      <c r="K37" s="141" t="s">
        <v>266</v>
      </c>
      <c r="L37" s="141" t="s">
        <v>173</v>
      </c>
      <c r="M37" s="141"/>
      <c r="N37" s="141"/>
      <c r="O37" s="145">
        <v>1</v>
      </c>
      <c r="P37" s="145"/>
      <c r="Q37" s="146"/>
      <c r="R37" s="146"/>
      <c r="S37" s="145"/>
      <c r="T37" s="141" t="s">
        <v>272</v>
      </c>
      <c r="U37" s="141" t="s">
        <v>234</v>
      </c>
      <c r="V37" s="141"/>
      <c r="W37" s="141" t="s">
        <v>197</v>
      </c>
      <c r="X37" s="141" t="s">
        <v>150</v>
      </c>
      <c r="Y37" s="141"/>
      <c r="Z37" s="147">
        <f>VLOOKUP(D37,원가정보3!$E$5:$K$1048576,5,0)</f>
        <v>3059.1000000000004</v>
      </c>
      <c r="AA37" s="147">
        <f t="shared" si="1"/>
        <v>3059.1000000000004</v>
      </c>
      <c r="AB37" s="96"/>
    </row>
    <row r="38" spans="1:28" s="4" customFormat="1" outlineLevel="1">
      <c r="A38" s="141"/>
      <c r="B38" s="141"/>
      <c r="C38" s="142"/>
      <c r="D38" s="141" t="s">
        <v>273</v>
      </c>
      <c r="E38" s="141">
        <v>1600</v>
      </c>
      <c r="F38" s="141" t="s">
        <v>193</v>
      </c>
      <c r="G38" s="141" t="s">
        <v>257</v>
      </c>
      <c r="H38" s="141" t="s">
        <v>274</v>
      </c>
      <c r="I38" s="141" t="s">
        <v>192</v>
      </c>
      <c r="J38" s="141" t="s">
        <v>258</v>
      </c>
      <c r="K38" s="141" t="s">
        <v>275</v>
      </c>
      <c r="L38" s="141" t="s">
        <v>202</v>
      </c>
      <c r="M38" s="141"/>
      <c r="N38" s="141"/>
      <c r="O38" s="148">
        <f>IF(O33&lt;=20,O20,0)</f>
        <v>0</v>
      </c>
      <c r="P38" s="145"/>
      <c r="Q38" s="146"/>
      <c r="R38" s="146"/>
      <c r="S38" s="145"/>
      <c r="T38" s="141" t="s">
        <v>276</v>
      </c>
      <c r="U38" s="141"/>
      <c r="V38" s="141"/>
      <c r="W38" s="141"/>
      <c r="X38" s="141" t="s">
        <v>150</v>
      </c>
      <c r="Y38" s="141"/>
      <c r="Z38" s="147">
        <f>VLOOKUP(D38,원가정보3!$E$5:$K$1048576,5,0)</f>
        <v>22330</v>
      </c>
      <c r="AA38" s="147">
        <f t="shared" si="1"/>
        <v>0</v>
      </c>
      <c r="AB38" s="96"/>
    </row>
    <row r="39" spans="1:28" s="4" customFormat="1" outlineLevel="1">
      <c r="A39" s="141"/>
      <c r="B39" s="141"/>
      <c r="C39" s="142"/>
      <c r="D39" s="141" t="s">
        <v>277</v>
      </c>
      <c r="E39" s="141">
        <v>1600</v>
      </c>
      <c r="F39" s="141" t="s">
        <v>193</v>
      </c>
      <c r="G39" s="141" t="s">
        <v>257</v>
      </c>
      <c r="H39" s="141" t="s">
        <v>278</v>
      </c>
      <c r="I39" s="141" t="s">
        <v>192</v>
      </c>
      <c r="J39" s="141" t="s">
        <v>258</v>
      </c>
      <c r="K39" s="141" t="s">
        <v>275</v>
      </c>
      <c r="L39" s="141" t="s">
        <v>202</v>
      </c>
      <c r="M39" s="141"/>
      <c r="N39" s="141"/>
      <c r="O39" s="148">
        <f>IF(AND(O33&gt;20,O33&lt;30),O20,0)</f>
        <v>0</v>
      </c>
      <c r="P39" s="145"/>
      <c r="Q39" s="146"/>
      <c r="R39" s="146"/>
      <c r="S39" s="145"/>
      <c r="T39" s="141" t="s">
        <v>276</v>
      </c>
      <c r="U39" s="141"/>
      <c r="V39" s="141"/>
      <c r="W39" s="141"/>
      <c r="X39" s="141" t="s">
        <v>150</v>
      </c>
      <c r="Y39" s="141"/>
      <c r="Z39" s="147">
        <f>VLOOKUP(D39,원가정보3!$E$5:$K$1048576,5,0)</f>
        <v>32378.500000000004</v>
      </c>
      <c r="AA39" s="147">
        <f t="shared" si="1"/>
        <v>0</v>
      </c>
      <c r="AB39" s="96"/>
    </row>
    <row r="40" spans="1:28" s="4" customFormat="1" outlineLevel="1">
      <c r="A40" s="141" t="s">
        <v>279</v>
      </c>
      <c r="B40" s="141"/>
      <c r="C40" s="142">
        <v>1</v>
      </c>
      <c r="D40" s="143" t="str">
        <f>IF('사양 입력'!$C$5&lt;=7,"HX058004H0200",IF(AND('사양 입력'!$C$5&gt;=7.1,'사양 입력'!$C$5&lt;=11.3),"HX058004H0300",IF(AND('사양 입력'!$C$5&gt;=11.4,'사양 입력'!$C$5&lt;=14.1),"HX058004H0400",IF(AND('사양 입력'!$C$5&gt;=14.2,'사양 입력'!$C$5&lt;=20.6),"HX058004H0500",IF(AND('사양 입력'!$C$5&gt;=20.7,'사양 입력'!$C$5&lt;=26.5),"HX058004H0600",IF(AND('사양 입력'!$C$5&gt;=26.6,'사양 입력'!$C$5&lt;=33),"HX058004H0700",IF(AND('사양 입력'!$C$5&gt;=33.1,'사양 입력'!$C$5&lt;=50),"HX058004H0800","용량오류")))))))</f>
        <v>HX058004H0200</v>
      </c>
      <c r="E40" s="141">
        <v>1630</v>
      </c>
      <c r="F40" s="141" t="s">
        <v>189</v>
      </c>
      <c r="G40" s="141" t="s">
        <v>280</v>
      </c>
      <c r="H40" s="144" t="str">
        <f>LEFT(D40,11)</f>
        <v>HX058004H02</v>
      </c>
      <c r="I40" s="141" t="s">
        <v>192</v>
      </c>
      <c r="J40" s="141" t="s">
        <v>258</v>
      </c>
      <c r="K40" s="141" t="s">
        <v>281</v>
      </c>
      <c r="L40" s="141" t="s">
        <v>173</v>
      </c>
      <c r="M40" s="141"/>
      <c r="N40" s="141"/>
      <c r="O40" s="145">
        <v>48</v>
      </c>
      <c r="P40" s="145"/>
      <c r="Q40" s="146" t="s">
        <v>282</v>
      </c>
      <c r="R40" s="146"/>
      <c r="S40" s="145"/>
      <c r="T40" s="141" t="s">
        <v>283</v>
      </c>
      <c r="U40" s="141" t="s">
        <v>284</v>
      </c>
      <c r="V40" s="141"/>
      <c r="W40" s="141" t="s">
        <v>285</v>
      </c>
      <c r="X40" s="141" t="s">
        <v>150</v>
      </c>
      <c r="Y40" s="141"/>
      <c r="Z40" s="147">
        <f>VLOOKUP(D40,원가정보3!$E$5:$K$1048576,5,0)</f>
        <v>1027.4000000000001</v>
      </c>
      <c r="AA40" s="147">
        <f t="shared" si="1"/>
        <v>49315.200000000004</v>
      </c>
      <c r="AB40" s="96"/>
    </row>
    <row r="41" spans="1:28" s="4" customFormat="1" outlineLevel="1">
      <c r="A41" s="141" t="s">
        <v>286</v>
      </c>
      <c r="B41" s="141"/>
      <c r="C41" s="142">
        <v>1</v>
      </c>
      <c r="D41" s="143" t="str">
        <f>IF('사양 입력'!$C$5&lt;=7,"HX058006H0200",IF(AND('사양 입력'!$C$5&gt;=7.1,'사양 입력'!$C$5&lt;=11.3),"HX058006H0300",IF(AND('사양 입력'!$C$5&gt;=11.4,'사양 입력'!$C$5&lt;=14.1),"HX058006H0400",IF(AND('사양 입력'!$C$5&gt;=14.2,'사양 입력'!$C$5&lt;=33),"HX058006H0500",IF(AND('사양 입력'!$C$5&gt;=33.1,'사양 입력'!$C$5&lt;=50),"HX058006H0600","용량오류")))))</f>
        <v>HX058006H0200</v>
      </c>
      <c r="E41" s="141">
        <v>1640</v>
      </c>
      <c r="F41" s="141" t="s">
        <v>193</v>
      </c>
      <c r="G41" s="141" t="s">
        <v>257</v>
      </c>
      <c r="H41" s="144" t="s">
        <v>287</v>
      </c>
      <c r="I41" s="141" t="s">
        <v>192</v>
      </c>
      <c r="J41" s="141" t="s">
        <v>258</v>
      </c>
      <c r="K41" s="141" t="s">
        <v>288</v>
      </c>
      <c r="L41" s="141" t="s">
        <v>173</v>
      </c>
      <c r="M41" s="141"/>
      <c r="N41" s="141"/>
      <c r="O41" s="145">
        <v>16</v>
      </c>
      <c r="P41" s="145"/>
      <c r="Q41" s="146" t="s">
        <v>289</v>
      </c>
      <c r="R41" s="146"/>
      <c r="S41" s="145"/>
      <c r="T41" s="141" t="s">
        <v>290</v>
      </c>
      <c r="U41" s="141" t="s">
        <v>284</v>
      </c>
      <c r="V41" s="141"/>
      <c r="W41" s="141" t="s">
        <v>285</v>
      </c>
      <c r="X41" s="141" t="s">
        <v>150</v>
      </c>
      <c r="Y41" s="141"/>
      <c r="Z41" s="147">
        <f>VLOOKUP(D41,원가정보3!$E$5:$K$1048576,5,0)</f>
        <v>1027.4000000000001</v>
      </c>
      <c r="AA41" s="147">
        <f t="shared" si="1"/>
        <v>16438.400000000001</v>
      </c>
      <c r="AB41" s="96"/>
    </row>
    <row r="42" spans="1:28" s="4" customFormat="1" outlineLevel="1">
      <c r="A42" s="141" t="s">
        <v>291</v>
      </c>
      <c r="B42" s="141"/>
      <c r="C42" s="142">
        <v>1</v>
      </c>
      <c r="D42" s="141" t="s">
        <v>292</v>
      </c>
      <c r="E42" s="141">
        <v>1650</v>
      </c>
      <c r="F42" s="141" t="s">
        <v>189</v>
      </c>
      <c r="G42" s="141" t="s">
        <v>257</v>
      </c>
      <c r="H42" s="141" t="s">
        <v>293</v>
      </c>
      <c r="I42" s="141" t="s">
        <v>192</v>
      </c>
      <c r="J42" s="141" t="s">
        <v>258</v>
      </c>
      <c r="K42" s="141" t="s">
        <v>294</v>
      </c>
      <c r="L42" s="141" t="s">
        <v>173</v>
      </c>
      <c r="M42" s="141"/>
      <c r="N42" s="141"/>
      <c r="O42" s="145">
        <v>10</v>
      </c>
      <c r="P42" s="145"/>
      <c r="Q42" s="146" t="s">
        <v>295</v>
      </c>
      <c r="R42" s="146"/>
      <c r="S42" s="145"/>
      <c r="T42" s="141" t="s">
        <v>296</v>
      </c>
      <c r="U42" s="141" t="s">
        <v>234</v>
      </c>
      <c r="V42" s="141"/>
      <c r="W42" s="141" t="s">
        <v>285</v>
      </c>
      <c r="X42" s="141" t="s">
        <v>150</v>
      </c>
      <c r="Y42" s="141"/>
      <c r="Z42" s="147">
        <f>VLOOKUP(D42,원가정보3!$E$5:$K$1048576,5,0)</f>
        <v>378.40000000000003</v>
      </c>
      <c r="AA42" s="147">
        <f t="shared" si="1"/>
        <v>3784.0000000000005</v>
      </c>
      <c r="AB42" s="96"/>
    </row>
    <row r="43" spans="1:28" s="4" customFormat="1" outlineLevel="1">
      <c r="A43" s="141" t="s">
        <v>297</v>
      </c>
      <c r="B43" s="141"/>
      <c r="C43" s="142">
        <v>1</v>
      </c>
      <c r="D43" s="141" t="s">
        <v>298</v>
      </c>
      <c r="E43" s="141">
        <v>1660</v>
      </c>
      <c r="F43" s="141" t="s">
        <v>189</v>
      </c>
      <c r="G43" s="141" t="s">
        <v>257</v>
      </c>
      <c r="H43" s="141" t="s">
        <v>299</v>
      </c>
      <c r="I43" s="141" t="s">
        <v>192</v>
      </c>
      <c r="J43" s="141" t="s">
        <v>258</v>
      </c>
      <c r="K43" s="141" t="s">
        <v>300</v>
      </c>
      <c r="L43" s="141" t="s">
        <v>173</v>
      </c>
      <c r="M43" s="141"/>
      <c r="N43" s="141"/>
      <c r="O43" s="145">
        <v>3</v>
      </c>
      <c r="P43" s="145"/>
      <c r="Q43" s="146" t="s">
        <v>301</v>
      </c>
      <c r="R43" s="146"/>
      <c r="S43" s="145"/>
      <c r="T43" s="141" t="s">
        <v>302</v>
      </c>
      <c r="U43" s="141" t="s">
        <v>303</v>
      </c>
      <c r="V43" s="141"/>
      <c r="W43" s="141" t="s">
        <v>285</v>
      </c>
      <c r="X43" s="141" t="s">
        <v>150</v>
      </c>
      <c r="Y43" s="141"/>
      <c r="Z43" s="147">
        <f>VLOOKUP(D43,원가정보3!$E$5:$K$1048576,5,0)</f>
        <v>817.30000000000007</v>
      </c>
      <c r="AA43" s="147">
        <f t="shared" si="1"/>
        <v>2451.9</v>
      </c>
      <c r="AB43" s="96"/>
    </row>
    <row r="44" spans="1:28" s="4" customFormat="1" outlineLevel="1">
      <c r="A44" s="141" t="s">
        <v>304</v>
      </c>
      <c r="B44" s="141"/>
      <c r="C44" s="142">
        <v>1</v>
      </c>
      <c r="D44" s="141" t="s">
        <v>305</v>
      </c>
      <c r="E44" s="141">
        <v>1670</v>
      </c>
      <c r="F44" s="141" t="s">
        <v>189</v>
      </c>
      <c r="G44" s="141" t="s">
        <v>257</v>
      </c>
      <c r="H44" s="141" t="s">
        <v>306</v>
      </c>
      <c r="I44" s="141" t="s">
        <v>192</v>
      </c>
      <c r="J44" s="141" t="s">
        <v>258</v>
      </c>
      <c r="K44" s="141" t="s">
        <v>307</v>
      </c>
      <c r="L44" s="141" t="s">
        <v>173</v>
      </c>
      <c r="M44" s="141"/>
      <c r="N44" s="141"/>
      <c r="O44" s="145">
        <v>4</v>
      </c>
      <c r="P44" s="145"/>
      <c r="Q44" s="146" t="s">
        <v>308</v>
      </c>
      <c r="R44" s="146"/>
      <c r="S44" s="145"/>
      <c r="T44" s="141" t="s">
        <v>309</v>
      </c>
      <c r="U44" s="141" t="s">
        <v>310</v>
      </c>
      <c r="V44" s="141"/>
      <c r="W44" s="141" t="s">
        <v>285</v>
      </c>
      <c r="X44" s="141" t="s">
        <v>150</v>
      </c>
      <c r="Y44" s="141"/>
      <c r="Z44" s="147">
        <f>VLOOKUP(D44,원가정보3!$E$5:$K$1048576,5,0)</f>
        <v>1196.8000000000002</v>
      </c>
      <c r="AA44" s="147">
        <f t="shared" si="1"/>
        <v>4787.2000000000007</v>
      </c>
      <c r="AB44" s="96"/>
    </row>
    <row r="45" spans="1:28" s="4" customFormat="1" ht="69.599999999999994" outlineLevel="1">
      <c r="A45" s="141" t="s">
        <v>311</v>
      </c>
      <c r="B45" s="141"/>
      <c r="C45" s="142">
        <v>1</v>
      </c>
      <c r="D45" s="141" t="s">
        <v>312</v>
      </c>
      <c r="E45" s="141">
        <v>1680</v>
      </c>
      <c r="F45" s="141" t="s">
        <v>189</v>
      </c>
      <c r="G45" s="141" t="s">
        <v>257</v>
      </c>
      <c r="H45" s="141" t="s">
        <v>313</v>
      </c>
      <c r="I45" s="141" t="s">
        <v>192</v>
      </c>
      <c r="J45" s="141" t="s">
        <v>258</v>
      </c>
      <c r="K45" s="141" t="s">
        <v>314</v>
      </c>
      <c r="L45" s="141" t="s">
        <v>173</v>
      </c>
      <c r="M45" s="141"/>
      <c r="N45" s="141"/>
      <c r="O45" s="148">
        <f>ROUNDUP(16+12+4+15+'사양 입력'!C12/1000,0)</f>
        <v>92</v>
      </c>
      <c r="P45" s="145"/>
      <c r="Q45" s="146" t="s">
        <v>315</v>
      </c>
      <c r="R45" s="146"/>
      <c r="S45" s="145"/>
      <c r="T45" s="141" t="s">
        <v>316</v>
      </c>
      <c r="U45" s="141" t="s">
        <v>303</v>
      </c>
      <c r="V45" s="141"/>
      <c r="W45" s="141" t="s">
        <v>285</v>
      </c>
      <c r="X45" s="141" t="s">
        <v>150</v>
      </c>
      <c r="Y45" s="141"/>
      <c r="Z45" s="147">
        <f>VLOOKUP(D45,원가정보3!$E$5:$K$1048576,5,0)</f>
        <v>1767.7</v>
      </c>
      <c r="AA45" s="147">
        <f t="shared" si="1"/>
        <v>162628.4</v>
      </c>
      <c r="AB45" s="96"/>
    </row>
    <row r="46" spans="1:28" s="4" customFormat="1" outlineLevel="1">
      <c r="A46" s="141" t="s">
        <v>317</v>
      </c>
      <c r="B46" s="141"/>
      <c r="C46" s="142">
        <v>1</v>
      </c>
      <c r="D46" s="141" t="s">
        <v>318</v>
      </c>
      <c r="E46" s="141">
        <v>1690</v>
      </c>
      <c r="F46" s="141" t="s">
        <v>189</v>
      </c>
      <c r="G46" s="141" t="s">
        <v>257</v>
      </c>
      <c r="H46" s="141" t="s">
        <v>319</v>
      </c>
      <c r="I46" s="141" t="s">
        <v>192</v>
      </c>
      <c r="J46" s="141" t="s">
        <v>258</v>
      </c>
      <c r="K46" s="141" t="s">
        <v>320</v>
      </c>
      <c r="L46" s="141" t="s">
        <v>173</v>
      </c>
      <c r="M46" s="141"/>
      <c r="N46" s="141"/>
      <c r="O46" s="148">
        <f>ROUNDUP(11+'사양 입력'!C12/1000,0)</f>
        <v>56</v>
      </c>
      <c r="P46" s="145"/>
      <c r="Q46" s="146" t="s">
        <v>321</v>
      </c>
      <c r="R46" s="146"/>
      <c r="S46" s="145"/>
      <c r="T46" s="141" t="s">
        <v>322</v>
      </c>
      <c r="U46" s="141" t="s">
        <v>303</v>
      </c>
      <c r="V46" s="141"/>
      <c r="W46" s="141" t="s">
        <v>285</v>
      </c>
      <c r="X46" s="141" t="s">
        <v>150</v>
      </c>
      <c r="Y46" s="141"/>
      <c r="Z46" s="147">
        <f>VLOOKUP(D46,원가정보3!$E$5:$K$1048576,5,0)</f>
        <v>3997.4000000000005</v>
      </c>
      <c r="AA46" s="147">
        <f t="shared" si="1"/>
        <v>223854.40000000002</v>
      </c>
      <c r="AB46" s="96"/>
    </row>
    <row r="47" spans="1:28" s="4" customFormat="1" outlineLevel="1">
      <c r="A47" s="141"/>
      <c r="B47" s="141"/>
      <c r="C47" s="142"/>
      <c r="D47" s="141" t="s">
        <v>323</v>
      </c>
      <c r="E47" s="141">
        <v>1680</v>
      </c>
      <c r="F47" s="141" t="s">
        <v>189</v>
      </c>
      <c r="G47" s="141" t="s">
        <v>257</v>
      </c>
      <c r="H47" s="141" t="s">
        <v>324</v>
      </c>
      <c r="I47" s="141" t="s">
        <v>192</v>
      </c>
      <c r="J47" s="141" t="s">
        <v>258</v>
      </c>
      <c r="K47" s="141" t="s">
        <v>325</v>
      </c>
      <c r="L47" s="141" t="s">
        <v>202</v>
      </c>
      <c r="M47" s="141"/>
      <c r="N47" s="141"/>
      <c r="O47" s="148">
        <f>IF(O20&gt;=1,ROUNDUP((5000+'사양 입력'!C11+'사양 입력'!C12+4000)/1000,0),0)</f>
        <v>0</v>
      </c>
      <c r="P47" s="145"/>
      <c r="Q47" s="146" t="s">
        <v>326</v>
      </c>
      <c r="R47" s="146"/>
      <c r="S47" s="145"/>
      <c r="T47" s="141" t="s">
        <v>327</v>
      </c>
      <c r="U47" s="141"/>
      <c r="V47" s="141"/>
      <c r="W47" s="141"/>
      <c r="X47" s="141" t="s">
        <v>150</v>
      </c>
      <c r="Y47" s="141"/>
      <c r="Z47" s="147">
        <f>VLOOKUP(D47,원가정보3!$E$5:$K$1048576,5,0)</f>
        <v>1745.7</v>
      </c>
      <c r="AA47" s="147">
        <f t="shared" si="1"/>
        <v>0</v>
      </c>
      <c r="AB47" s="96"/>
    </row>
    <row r="48" spans="1:28" s="4" customFormat="1" outlineLevel="1">
      <c r="A48" s="141" t="s">
        <v>328</v>
      </c>
      <c r="B48" s="141"/>
      <c r="C48" s="142">
        <v>1</v>
      </c>
      <c r="D48" s="141" t="s">
        <v>329</v>
      </c>
      <c r="E48" s="141">
        <v>1700</v>
      </c>
      <c r="F48" s="141" t="s">
        <v>189</v>
      </c>
      <c r="G48" s="141" t="s">
        <v>257</v>
      </c>
      <c r="H48" s="141" t="s">
        <v>330</v>
      </c>
      <c r="I48" s="141" t="s">
        <v>192</v>
      </c>
      <c r="J48" s="141" t="s">
        <v>258</v>
      </c>
      <c r="K48" s="141" t="s">
        <v>331</v>
      </c>
      <c r="L48" s="141" t="s">
        <v>173</v>
      </c>
      <c r="M48" s="141"/>
      <c r="N48" s="141"/>
      <c r="O48" s="148">
        <f>ROUNDUP(19+'사양 입력'!C14/1000,0)</f>
        <v>70</v>
      </c>
      <c r="P48" s="145"/>
      <c r="Q48" s="146" t="s">
        <v>332</v>
      </c>
      <c r="R48" s="146"/>
      <c r="S48" s="145"/>
      <c r="T48" s="141" t="s">
        <v>333</v>
      </c>
      <c r="U48" s="141" t="s">
        <v>234</v>
      </c>
      <c r="V48" s="141"/>
      <c r="W48" s="141" t="s">
        <v>285</v>
      </c>
      <c r="X48" s="141" t="s">
        <v>150</v>
      </c>
      <c r="Y48" s="141"/>
      <c r="Z48" s="147">
        <f>VLOOKUP(D48,원가정보3!$E$5:$K$1048576,5,0)</f>
        <v>553.30000000000007</v>
      </c>
      <c r="AA48" s="147">
        <f t="shared" si="1"/>
        <v>38731.000000000007</v>
      </c>
      <c r="AB48" s="96"/>
    </row>
    <row r="49" spans="1:30" s="4" customFormat="1" outlineLevel="1">
      <c r="A49" s="141" t="s">
        <v>334</v>
      </c>
      <c r="B49" s="141"/>
      <c r="C49" s="142">
        <v>1</v>
      </c>
      <c r="D49" s="141" t="s">
        <v>335</v>
      </c>
      <c r="E49" s="141">
        <v>1710</v>
      </c>
      <c r="F49" s="141" t="s">
        <v>189</v>
      </c>
      <c r="G49" s="141" t="s">
        <v>257</v>
      </c>
      <c r="H49" s="141" t="s">
        <v>336</v>
      </c>
      <c r="I49" s="141" t="s">
        <v>192</v>
      </c>
      <c r="J49" s="141" t="s">
        <v>258</v>
      </c>
      <c r="K49" s="141" t="s">
        <v>337</v>
      </c>
      <c r="L49" s="141" t="s">
        <v>173</v>
      </c>
      <c r="M49" s="141"/>
      <c r="N49" s="141"/>
      <c r="O49" s="148">
        <f>ROUNDUP(11+'사양 입력'!C12/1000,0)</f>
        <v>56</v>
      </c>
      <c r="P49" s="145"/>
      <c r="Q49" s="146" t="s">
        <v>338</v>
      </c>
      <c r="R49" s="146"/>
      <c r="S49" s="145"/>
      <c r="T49" s="141" t="s">
        <v>339</v>
      </c>
      <c r="U49" s="141" t="s">
        <v>303</v>
      </c>
      <c r="V49" s="141"/>
      <c r="W49" s="141" t="s">
        <v>285</v>
      </c>
      <c r="X49" s="141" t="s">
        <v>150</v>
      </c>
      <c r="Y49" s="141"/>
      <c r="Z49" s="147">
        <f>VLOOKUP(D49,원가정보3!$E$5:$K$1048576,5,0)</f>
        <v>3688.3</v>
      </c>
      <c r="AA49" s="147">
        <f t="shared" si="1"/>
        <v>206544.80000000002</v>
      </c>
      <c r="AB49" s="96"/>
    </row>
    <row r="50" spans="1:30" s="4" customFormat="1" outlineLevel="1">
      <c r="A50" s="141" t="s">
        <v>340</v>
      </c>
      <c r="B50" s="141"/>
      <c r="C50" s="142">
        <v>1</v>
      </c>
      <c r="D50" s="141" t="s">
        <v>341</v>
      </c>
      <c r="E50" s="141">
        <v>1720</v>
      </c>
      <c r="F50" s="141" t="s">
        <v>189</v>
      </c>
      <c r="G50" s="141" t="s">
        <v>257</v>
      </c>
      <c r="H50" s="141" t="s">
        <v>342</v>
      </c>
      <c r="I50" s="141" t="s">
        <v>192</v>
      </c>
      <c r="J50" s="141" t="s">
        <v>258</v>
      </c>
      <c r="K50" s="141" t="s">
        <v>343</v>
      </c>
      <c r="L50" s="141" t="s">
        <v>173</v>
      </c>
      <c r="M50" s="141"/>
      <c r="N50" s="141"/>
      <c r="O50" s="148">
        <f>ROUNDUP(3.5*'사양 입력'!C7,0)</f>
        <v>53</v>
      </c>
      <c r="P50" s="145"/>
      <c r="Q50" s="146" t="s">
        <v>344</v>
      </c>
      <c r="R50" s="146"/>
      <c r="S50" s="145"/>
      <c r="T50" s="141" t="s">
        <v>345</v>
      </c>
      <c r="U50" s="141" t="s">
        <v>234</v>
      </c>
      <c r="V50" s="141"/>
      <c r="W50" s="141" t="s">
        <v>285</v>
      </c>
      <c r="X50" s="141" t="s">
        <v>150</v>
      </c>
      <c r="Y50" s="141"/>
      <c r="Z50" s="147">
        <f>VLOOKUP(D50,원가정보3!$E$5:$K$1048576,5,0)</f>
        <v>1019.7</v>
      </c>
      <c r="AA50" s="147">
        <f t="shared" si="1"/>
        <v>54044.100000000006</v>
      </c>
      <c r="AB50" s="96"/>
    </row>
    <row r="51" spans="1:30" s="4" customFormat="1" ht="52.2" outlineLevel="1">
      <c r="A51" s="141" t="s">
        <v>346</v>
      </c>
      <c r="B51" s="141"/>
      <c r="C51" s="142">
        <v>1</v>
      </c>
      <c r="D51" s="141" t="s">
        <v>347</v>
      </c>
      <c r="E51" s="141">
        <v>1730</v>
      </c>
      <c r="F51" s="141" t="s">
        <v>189</v>
      </c>
      <c r="G51" s="141" t="s">
        <v>257</v>
      </c>
      <c r="H51" s="141" t="s">
        <v>348</v>
      </c>
      <c r="I51" s="141" t="s">
        <v>192</v>
      </c>
      <c r="J51" s="141" t="s">
        <v>258</v>
      </c>
      <c r="K51" s="141" t="s">
        <v>349</v>
      </c>
      <c r="L51" s="141" t="s">
        <v>173</v>
      </c>
      <c r="M51" s="141"/>
      <c r="N51" s="141"/>
      <c r="O51" s="148">
        <f>ROUNDUP(3+15+0.5*'사양 입력'!C7,0)</f>
        <v>26</v>
      </c>
      <c r="P51" s="145"/>
      <c r="Q51" s="146" t="s">
        <v>350</v>
      </c>
      <c r="R51" s="146"/>
      <c r="S51" s="145"/>
      <c r="T51" s="141" t="s">
        <v>351</v>
      </c>
      <c r="U51" s="141" t="s">
        <v>303</v>
      </c>
      <c r="V51" s="141"/>
      <c r="W51" s="141" t="s">
        <v>285</v>
      </c>
      <c r="X51" s="141" t="s">
        <v>150</v>
      </c>
      <c r="Y51" s="141"/>
      <c r="Z51" s="147">
        <f>VLOOKUP(D51,원가정보3!$E$5:$K$1048576,5,0)</f>
        <v>774.40000000000009</v>
      </c>
      <c r="AA51" s="147">
        <f t="shared" si="1"/>
        <v>20134.400000000001</v>
      </c>
      <c r="AB51" s="96"/>
    </row>
    <row r="52" spans="1:30" s="4" customFormat="1" outlineLevel="1">
      <c r="A52" s="141" t="s">
        <v>352</v>
      </c>
      <c r="B52" s="141"/>
      <c r="C52" s="142">
        <v>1</v>
      </c>
      <c r="D52" s="325" t="str">
        <f>IF('사양 입력'!$K$13="UTP 내장형","HX00058CH1100",IF('사양 입력'!$K$13="A/C 동력선 내장형","HX00058CH1300","HX00058CH0900"))</f>
        <v>HX00058CH0900</v>
      </c>
      <c r="E52" s="141">
        <v>1740</v>
      </c>
      <c r="F52" s="324" t="s">
        <v>189</v>
      </c>
      <c r="G52" s="141" t="s">
        <v>257</v>
      </c>
      <c r="H52" s="141" t="s">
        <v>353</v>
      </c>
      <c r="I52" s="141" t="s">
        <v>192</v>
      </c>
      <c r="J52" s="141" t="s">
        <v>258</v>
      </c>
      <c r="K52" s="141" t="s">
        <v>354</v>
      </c>
      <c r="L52" s="141" t="s">
        <v>173</v>
      </c>
      <c r="M52" s="141"/>
      <c r="N52" s="141">
        <v>1</v>
      </c>
      <c r="O52" s="148">
        <f>ROUNDUP(18+'사양 입력'!C12/1000,0)</f>
        <v>63</v>
      </c>
      <c r="P52" s="148"/>
      <c r="Q52" s="146" t="s">
        <v>355</v>
      </c>
      <c r="R52" s="146"/>
      <c r="S52" s="145"/>
      <c r="T52" s="141" t="s">
        <v>356</v>
      </c>
      <c r="U52" s="141" t="s">
        <v>357</v>
      </c>
      <c r="V52" s="141"/>
      <c r="W52" s="141" t="s">
        <v>285</v>
      </c>
      <c r="X52" s="141" t="s">
        <v>150</v>
      </c>
      <c r="Y52" s="141"/>
      <c r="Z52" s="147">
        <f>VLOOKUP(D52,원가정보3!$E$5:$K$1048576,5,0)</f>
        <v>8928.7000000000007</v>
      </c>
      <c r="AA52" s="147">
        <f>Z52*O52</f>
        <v>562508.10000000009</v>
      </c>
      <c r="AB52" s="299"/>
      <c r="AC52" s="113"/>
    </row>
    <row r="53" spans="1:30" s="4" customFormat="1" outlineLevel="1">
      <c r="A53" s="141"/>
      <c r="B53" s="141"/>
      <c r="C53" s="142">
        <v>1</v>
      </c>
      <c r="D53" s="325" t="str">
        <f>IF('사양 입력'!$K$15="별도형","HX00058CH1200","")</f>
        <v/>
      </c>
      <c r="E53" s="141">
        <v>840</v>
      </c>
      <c r="F53" s="324">
        <v>2</v>
      </c>
      <c r="G53" s="141" t="s">
        <v>2445</v>
      </c>
      <c r="H53" s="141"/>
      <c r="I53" s="141" t="s">
        <v>192</v>
      </c>
      <c r="J53" s="141" t="s">
        <v>258</v>
      </c>
      <c r="K53" s="141" t="s">
        <v>354</v>
      </c>
      <c r="L53" s="141" t="s">
        <v>202</v>
      </c>
      <c r="M53" s="141"/>
      <c r="N53" s="141"/>
      <c r="O53" s="148">
        <f>ROUNDUP(12+('사양 입력'!$C$11+'사양 입력'!$C$12+'사양 입력'!$C$13*2)/1000,0)</f>
        <v>64</v>
      </c>
      <c r="P53" s="148"/>
      <c r="Q53" s="146" t="s">
        <v>2446</v>
      </c>
      <c r="R53" s="146"/>
      <c r="S53" s="145"/>
      <c r="T53" s="141" t="s">
        <v>2444</v>
      </c>
      <c r="U53" s="141" t="s">
        <v>357</v>
      </c>
      <c r="V53" s="141"/>
      <c r="W53" s="141" t="s">
        <v>362</v>
      </c>
      <c r="X53" s="141"/>
      <c r="Y53" s="141"/>
      <c r="Z53" s="147">
        <f>IFERROR(VLOOKUP(D53,원가정보3!$E$5:$I$1048576,5,0),0)</f>
        <v>0</v>
      </c>
      <c r="AA53" s="147">
        <f>Z53*O53</f>
        <v>0</v>
      </c>
      <c r="AD53" s="3"/>
    </row>
    <row r="54" spans="1:30" s="4" customFormat="1" outlineLevel="1">
      <c r="A54" s="141"/>
      <c r="B54" s="141"/>
      <c r="C54" s="327">
        <v>1</v>
      </c>
      <c r="D54" s="334" t="str">
        <f>IF(OR('사양 입력'!K14="RG59",'사양 입력'!K14="RG59+CLIP"),"HX058019H0100",IF(OR('사양 입력'!K14="UTP",'사양 입력'!K14="UTP+CLIP"),"R62100000210A",""))</f>
        <v/>
      </c>
      <c r="E54" s="141">
        <v>340</v>
      </c>
      <c r="F54" s="324" t="s">
        <v>189</v>
      </c>
      <c r="G54" s="328" t="s">
        <v>358</v>
      </c>
      <c r="H54" s="328" t="s">
        <v>359</v>
      </c>
      <c r="I54" s="328" t="s">
        <v>192</v>
      </c>
      <c r="J54" s="328" t="s">
        <v>258</v>
      </c>
      <c r="K54" s="328" t="s">
        <v>360</v>
      </c>
      <c r="L54" s="141" t="s">
        <v>202</v>
      </c>
      <c r="M54" s="141"/>
      <c r="N54" s="141"/>
      <c r="O54" s="339" t="str">
        <f>IF(OR('사양 입력'!K14="RG59",'사양 입력'!K14="RG59+CLIP",'사양 입력'!K14="UTP+CLIP",'사양 입력'!K14="RG59",'사양 입력'!K14="UTP"),ROUNDUP(('사양 입력'!$C$14+3000)/1000,0),"0")</f>
        <v>0</v>
      </c>
      <c r="P54" s="329"/>
      <c r="Q54" s="330"/>
      <c r="R54" s="330"/>
      <c r="S54" s="331"/>
      <c r="T54" s="324" t="s">
        <v>361</v>
      </c>
      <c r="U54" s="141"/>
      <c r="V54" s="141"/>
      <c r="W54" s="141" t="s">
        <v>362</v>
      </c>
      <c r="X54" s="141" t="s">
        <v>224</v>
      </c>
      <c r="Y54" s="141"/>
      <c r="Z54" s="147">
        <f>IFERROR(VLOOKUP(D54,원가정보3!$E$5:$K$1048576,5,0),0)</f>
        <v>0</v>
      </c>
      <c r="AA54" s="323">
        <f>Z54*O54</f>
        <v>0</v>
      </c>
      <c r="AB54" s="332">
        <f>IFERROR(VLOOKUP(D54,원가정보3!$E$5:$I$1048576,5,0),0)</f>
        <v>0</v>
      </c>
      <c r="AC54" s="332">
        <f>AB54*O54</f>
        <v>0</v>
      </c>
      <c r="AD54" s="96" t="s">
        <v>363</v>
      </c>
    </row>
    <row r="55" spans="1:30" s="4" customFormat="1" outlineLevel="1">
      <c r="A55" s="141"/>
      <c r="B55" s="141"/>
      <c r="C55" s="327">
        <v>1</v>
      </c>
      <c r="D55" s="338" t="s">
        <v>364</v>
      </c>
      <c r="E55" s="141">
        <v>650</v>
      </c>
      <c r="F55" s="324" t="s">
        <v>189</v>
      </c>
      <c r="G55" s="328" t="s">
        <v>365</v>
      </c>
      <c r="H55" s="328" t="s">
        <v>366</v>
      </c>
      <c r="I55" s="328" t="s">
        <v>192</v>
      </c>
      <c r="J55" s="328" t="s">
        <v>258</v>
      </c>
      <c r="K55" s="328" t="s">
        <v>367</v>
      </c>
      <c r="L55" s="141" t="s">
        <v>202</v>
      </c>
      <c r="M55" s="141"/>
      <c r="N55" s="141"/>
      <c r="O55" s="339" t="str">
        <f>IF('사양 입력'!K14="RG59+CLIP",ROUNDUP((('사양 입력'!$C$13*2+'사양 입력'!$C$12/2)/1000)/0.45,0),IF('사양 입력'!K14="UTP+CLIP",ROUNDUP((('사양 입력'!$C$13*2+'사양 입력'!$C$12/2)/1000)/0.45,0),"0"))</f>
        <v>0</v>
      </c>
      <c r="P55" s="329"/>
      <c r="Q55" s="330"/>
      <c r="R55" s="330"/>
      <c r="S55" s="331"/>
      <c r="T55" s="324" t="s">
        <v>368</v>
      </c>
      <c r="U55" s="141"/>
      <c r="V55" s="141"/>
      <c r="W55" s="141" t="s">
        <v>369</v>
      </c>
      <c r="X55" s="141" t="s">
        <v>224</v>
      </c>
      <c r="Y55" s="141"/>
      <c r="Z55" s="147">
        <f>VLOOKUP(D55,원가정보3!$E$5:$K$1048576,5,0)</f>
        <v>541.20000000000005</v>
      </c>
      <c r="AA55" s="323">
        <f>Z55*O55</f>
        <v>0</v>
      </c>
      <c r="AB55" s="332">
        <f>IFERROR(VLOOKUP(D55,원가정보3!$E$5:$I$1048576,5,0),0)</f>
        <v>541.20000000000005</v>
      </c>
      <c r="AC55" s="3">
        <f>AB55*O55</f>
        <v>0</v>
      </c>
      <c r="AD55" s="96" t="s">
        <v>363</v>
      </c>
    </row>
    <row r="56" spans="1:30" s="4" customFormat="1" outlineLevel="1">
      <c r="A56" s="141"/>
      <c r="B56" s="141"/>
      <c r="C56" s="142">
        <v>1</v>
      </c>
      <c r="D56" s="325" t="s">
        <v>370</v>
      </c>
      <c r="E56" s="141"/>
      <c r="F56" s="324"/>
      <c r="G56" s="324" t="s">
        <v>371</v>
      </c>
      <c r="H56" s="141" t="s">
        <v>372</v>
      </c>
      <c r="I56" s="141" t="s">
        <v>373</v>
      </c>
      <c r="J56" s="141"/>
      <c r="K56" s="141"/>
      <c r="L56" s="141"/>
      <c r="M56" s="141"/>
      <c r="N56" s="141"/>
      <c r="O56" s="148">
        <f>'사양 입력'!K10</f>
        <v>0</v>
      </c>
      <c r="P56" s="145"/>
      <c r="Q56" s="146" t="s">
        <v>374</v>
      </c>
      <c r="R56" s="146"/>
      <c r="S56" s="145"/>
      <c r="T56" s="141" t="s">
        <v>375</v>
      </c>
      <c r="U56" s="141"/>
      <c r="V56" s="141"/>
      <c r="W56" s="141" t="s">
        <v>369</v>
      </c>
      <c r="X56" s="141" t="s">
        <v>150</v>
      </c>
      <c r="Y56" s="167"/>
      <c r="Z56" s="147">
        <f>VLOOKUP(D56,원가정보3!$E$5:$K$1048576,5,0)</f>
        <v>24491</v>
      </c>
      <c r="AA56" s="323">
        <f t="shared" ref="AA56" si="2">Z56*O56</f>
        <v>0</v>
      </c>
      <c r="AB56" s="302"/>
      <c r="AC56" s="302"/>
      <c r="AD56" s="96"/>
    </row>
    <row r="57" spans="1:30" s="4" customFormat="1" outlineLevel="1">
      <c r="A57" s="99" t="s">
        <v>376</v>
      </c>
      <c r="B57" s="99"/>
      <c r="C57" s="102">
        <v>1</v>
      </c>
      <c r="D57" s="99" t="s">
        <v>377</v>
      </c>
      <c r="E57" s="99">
        <v>1760</v>
      </c>
      <c r="F57" s="99" t="s">
        <v>189</v>
      </c>
      <c r="G57" s="99" t="s">
        <v>378</v>
      </c>
      <c r="H57" s="99" t="s">
        <v>379</v>
      </c>
      <c r="I57" s="99" t="s">
        <v>192</v>
      </c>
      <c r="J57" s="99" t="s">
        <v>193</v>
      </c>
      <c r="K57" s="99" t="s">
        <v>380</v>
      </c>
      <c r="L57" s="99" t="s">
        <v>173</v>
      </c>
      <c r="M57" s="99"/>
      <c r="N57" s="99"/>
      <c r="O57" s="105">
        <v>1</v>
      </c>
      <c r="P57" s="105"/>
      <c r="Q57" s="106"/>
      <c r="R57" s="106"/>
      <c r="S57" s="105"/>
      <c r="T57" s="99" t="s">
        <v>381</v>
      </c>
      <c r="U57" s="99" t="s">
        <v>382</v>
      </c>
      <c r="V57" s="99"/>
      <c r="W57" s="99" t="s">
        <v>197</v>
      </c>
      <c r="X57" s="99" t="s">
        <v>150</v>
      </c>
      <c r="Y57" s="99"/>
      <c r="Z57" s="101">
        <f>VLOOKUP(D57,원가정보3!$E$5:$K$1048576,5,0)</f>
        <v>75522</v>
      </c>
      <c r="AA57" s="98">
        <f t="shared" si="1"/>
        <v>75522</v>
      </c>
      <c r="AB57" s="300"/>
      <c r="AC57" s="301"/>
    </row>
    <row r="58" spans="1:30" s="4" customFormat="1" outlineLevel="1">
      <c r="A58" s="99" t="s">
        <v>383</v>
      </c>
      <c r="B58" s="99"/>
      <c r="C58" s="102">
        <v>1</v>
      </c>
      <c r="D58" s="99" t="s">
        <v>384</v>
      </c>
      <c r="E58" s="99">
        <v>1770</v>
      </c>
      <c r="F58" s="99" t="s">
        <v>189</v>
      </c>
      <c r="G58" s="99" t="s">
        <v>385</v>
      </c>
      <c r="H58" s="99" t="s">
        <v>386</v>
      </c>
      <c r="I58" s="99" t="s">
        <v>192</v>
      </c>
      <c r="J58" s="99" t="s">
        <v>193</v>
      </c>
      <c r="K58" s="99" t="s">
        <v>387</v>
      </c>
      <c r="L58" s="99" t="s">
        <v>173</v>
      </c>
      <c r="M58" s="99"/>
      <c r="N58" s="99"/>
      <c r="O58" s="105">
        <v>2</v>
      </c>
      <c r="P58" s="105"/>
      <c r="Q58" s="106"/>
      <c r="R58" s="106"/>
      <c r="S58" s="105"/>
      <c r="T58" s="99" t="s">
        <v>388</v>
      </c>
      <c r="U58" s="99" t="s">
        <v>389</v>
      </c>
      <c r="V58" s="99"/>
      <c r="W58" s="99" t="s">
        <v>197</v>
      </c>
      <c r="X58" s="99" t="s">
        <v>150</v>
      </c>
      <c r="Y58" s="99"/>
      <c r="Z58" s="101">
        <f>VLOOKUP(D58,원가정보3!$E$5:$K$1048576,5,0)</f>
        <v>669.90000000000009</v>
      </c>
      <c r="AA58" s="98">
        <f t="shared" si="1"/>
        <v>1339.8000000000002</v>
      </c>
      <c r="AB58" s="96"/>
    </row>
    <row r="59" spans="1:30" s="4" customFormat="1" outlineLevel="1">
      <c r="A59" s="99" t="s">
        <v>390</v>
      </c>
      <c r="B59" s="99"/>
      <c r="C59" s="102">
        <v>1</v>
      </c>
      <c r="D59" s="99" t="s">
        <v>391</v>
      </c>
      <c r="E59" s="99">
        <v>1780</v>
      </c>
      <c r="F59" s="99" t="s">
        <v>189</v>
      </c>
      <c r="G59" s="99" t="s">
        <v>392</v>
      </c>
      <c r="H59" s="99" t="s">
        <v>393</v>
      </c>
      <c r="I59" s="99" t="s">
        <v>192</v>
      </c>
      <c r="J59" s="99" t="s">
        <v>193</v>
      </c>
      <c r="K59" s="99" t="s">
        <v>394</v>
      </c>
      <c r="L59" s="99" t="s">
        <v>173</v>
      </c>
      <c r="M59" s="99"/>
      <c r="N59" s="99"/>
      <c r="O59" s="105">
        <v>1</v>
      </c>
      <c r="P59" s="105"/>
      <c r="Q59" s="106"/>
      <c r="R59" s="106"/>
      <c r="S59" s="105"/>
      <c r="T59" s="99" t="s">
        <v>395</v>
      </c>
      <c r="U59" s="99" t="s">
        <v>396</v>
      </c>
      <c r="V59" s="99"/>
      <c r="W59" s="99" t="s">
        <v>197</v>
      </c>
      <c r="X59" s="99" t="s">
        <v>150</v>
      </c>
      <c r="Y59" s="99"/>
      <c r="Z59" s="101">
        <f>VLOOKUP(D59,원가정보3!$E$5:$K$1048576,5,0)</f>
        <v>20097</v>
      </c>
      <c r="AA59" s="98">
        <f t="shared" si="1"/>
        <v>20097</v>
      </c>
      <c r="AB59" s="96"/>
    </row>
    <row r="60" spans="1:30" s="4" customFormat="1" outlineLevel="1">
      <c r="A60" s="99" t="s">
        <v>397</v>
      </c>
      <c r="B60" s="99"/>
      <c r="C60" s="102">
        <v>1</v>
      </c>
      <c r="D60" s="99" t="s">
        <v>398</v>
      </c>
      <c r="E60" s="99">
        <v>1790</v>
      </c>
      <c r="F60" s="99" t="s">
        <v>189</v>
      </c>
      <c r="G60" s="99" t="s">
        <v>399</v>
      </c>
      <c r="H60" s="99" t="s">
        <v>400</v>
      </c>
      <c r="I60" s="99" t="s">
        <v>192</v>
      </c>
      <c r="J60" s="99" t="s">
        <v>401</v>
      </c>
      <c r="K60" s="99" t="s">
        <v>402</v>
      </c>
      <c r="L60" s="99" t="s">
        <v>173</v>
      </c>
      <c r="M60" s="99"/>
      <c r="N60" s="99"/>
      <c r="O60" s="105">
        <v>1</v>
      </c>
      <c r="P60" s="105"/>
      <c r="Q60" s="106"/>
      <c r="R60" s="106"/>
      <c r="S60" s="105"/>
      <c r="T60" s="99" t="s">
        <v>403</v>
      </c>
      <c r="U60" s="99" t="s">
        <v>404</v>
      </c>
      <c r="V60" s="99"/>
      <c r="W60" s="99" t="s">
        <v>197</v>
      </c>
      <c r="X60" s="99" t="s">
        <v>150</v>
      </c>
      <c r="Y60" s="99"/>
      <c r="Z60" s="101">
        <f>VLOOKUP(D60,원가정보3!$E$5:$K$1048576,5,0)</f>
        <v>6922.3</v>
      </c>
      <c r="AA60" s="98">
        <f t="shared" si="1"/>
        <v>6922.3</v>
      </c>
      <c r="AB60" s="96"/>
    </row>
    <row r="61" spans="1:30" s="4" customFormat="1" outlineLevel="1">
      <c r="A61" s="99" t="s">
        <v>405</v>
      </c>
      <c r="B61" s="99"/>
      <c r="C61" s="102">
        <v>1</v>
      </c>
      <c r="D61" s="99" t="s">
        <v>406</v>
      </c>
      <c r="E61" s="99">
        <v>1800</v>
      </c>
      <c r="F61" s="99" t="s">
        <v>189</v>
      </c>
      <c r="G61" s="99" t="s">
        <v>407</v>
      </c>
      <c r="H61" s="99" t="s">
        <v>408</v>
      </c>
      <c r="I61" s="99" t="s">
        <v>192</v>
      </c>
      <c r="J61" s="99" t="s">
        <v>401</v>
      </c>
      <c r="K61" s="99" t="s">
        <v>402</v>
      </c>
      <c r="L61" s="99" t="s">
        <v>173</v>
      </c>
      <c r="M61" s="99"/>
      <c r="N61" s="99"/>
      <c r="O61" s="105">
        <v>1</v>
      </c>
      <c r="P61" s="105"/>
      <c r="Q61" s="106"/>
      <c r="R61" s="106"/>
      <c r="S61" s="105"/>
      <c r="T61" s="99" t="s">
        <v>409</v>
      </c>
      <c r="U61" s="99" t="s">
        <v>410</v>
      </c>
      <c r="V61" s="99"/>
      <c r="W61" s="99" t="s">
        <v>197</v>
      </c>
      <c r="X61" s="99" t="s">
        <v>150</v>
      </c>
      <c r="Y61" s="99"/>
      <c r="Z61" s="101">
        <f>VLOOKUP(D61,원가정보3!$E$5:$K$1048576,5,0)</f>
        <v>6140.2000000000007</v>
      </c>
      <c r="AA61" s="98">
        <f t="shared" si="1"/>
        <v>6140.2000000000007</v>
      </c>
      <c r="AB61" s="96"/>
    </row>
    <row r="62" spans="1:30" s="4" customFormat="1" outlineLevel="1">
      <c r="A62" s="99" t="s">
        <v>411</v>
      </c>
      <c r="B62" s="99"/>
      <c r="C62" s="102">
        <v>1</v>
      </c>
      <c r="D62" s="99" t="s">
        <v>412</v>
      </c>
      <c r="E62" s="99">
        <v>1810</v>
      </c>
      <c r="F62" s="99" t="s">
        <v>189</v>
      </c>
      <c r="G62" s="99" t="s">
        <v>413</v>
      </c>
      <c r="H62" s="99" t="s">
        <v>414</v>
      </c>
      <c r="I62" s="99" t="s">
        <v>192</v>
      </c>
      <c r="J62" s="99" t="s">
        <v>193</v>
      </c>
      <c r="K62" s="99" t="s">
        <v>415</v>
      </c>
      <c r="L62" s="99" t="s">
        <v>173</v>
      </c>
      <c r="M62" s="99"/>
      <c r="N62" s="99"/>
      <c r="O62" s="105">
        <v>1</v>
      </c>
      <c r="P62" s="105"/>
      <c r="Q62" s="106"/>
      <c r="R62" s="106"/>
      <c r="S62" s="105"/>
      <c r="T62" s="99" t="s">
        <v>416</v>
      </c>
      <c r="U62" s="99" t="s">
        <v>417</v>
      </c>
      <c r="V62" s="99"/>
      <c r="W62" s="99" t="s">
        <v>197</v>
      </c>
      <c r="X62" s="99" t="s">
        <v>150</v>
      </c>
      <c r="Y62" s="99"/>
      <c r="Z62" s="101">
        <f>VLOOKUP(D62,원가정보3!$E$5:$K$1048576,5,0)</f>
        <v>12002.1</v>
      </c>
      <c r="AA62" s="98">
        <f t="shared" si="1"/>
        <v>12002.1</v>
      </c>
      <c r="AB62" s="96"/>
    </row>
    <row r="63" spans="1:30" s="4" customFormat="1" outlineLevel="1">
      <c r="A63" s="99" t="s">
        <v>418</v>
      </c>
      <c r="B63" s="99"/>
      <c r="C63" s="102">
        <v>1</v>
      </c>
      <c r="D63" s="99" t="s">
        <v>419</v>
      </c>
      <c r="E63" s="99">
        <v>1820</v>
      </c>
      <c r="F63" s="99" t="s">
        <v>189</v>
      </c>
      <c r="G63" s="99" t="s">
        <v>399</v>
      </c>
      <c r="H63" s="99" t="s">
        <v>420</v>
      </c>
      <c r="I63" s="99" t="s">
        <v>192</v>
      </c>
      <c r="J63" s="99" t="s">
        <v>193</v>
      </c>
      <c r="K63" s="99" t="s">
        <v>421</v>
      </c>
      <c r="L63" s="99" t="s">
        <v>173</v>
      </c>
      <c r="M63" s="99"/>
      <c r="N63" s="99"/>
      <c r="O63" s="105">
        <v>1</v>
      </c>
      <c r="P63" s="105"/>
      <c r="Q63" s="106"/>
      <c r="R63" s="106"/>
      <c r="S63" s="105"/>
      <c r="T63" s="99" t="s">
        <v>416</v>
      </c>
      <c r="U63" s="99" t="s">
        <v>422</v>
      </c>
      <c r="V63" s="99"/>
      <c r="W63" s="99" t="s">
        <v>197</v>
      </c>
      <c r="X63" s="99" t="s">
        <v>150</v>
      </c>
      <c r="Y63" s="99"/>
      <c r="Z63" s="101">
        <f>VLOOKUP(D63,원가정보3!$E$5:$K$1048576,5,0)</f>
        <v>11499.400000000001</v>
      </c>
      <c r="AA63" s="98">
        <f t="shared" si="1"/>
        <v>11499.400000000001</v>
      </c>
      <c r="AB63" s="96"/>
    </row>
    <row r="64" spans="1:30" s="4" customFormat="1" outlineLevel="1">
      <c r="A64" s="99" t="s">
        <v>423</v>
      </c>
      <c r="B64" s="99"/>
      <c r="C64" s="102">
        <v>1</v>
      </c>
      <c r="D64" s="99" t="s">
        <v>424</v>
      </c>
      <c r="E64" s="99">
        <v>1830</v>
      </c>
      <c r="F64" s="99" t="s">
        <v>189</v>
      </c>
      <c r="G64" s="99" t="s">
        <v>413</v>
      </c>
      <c r="H64" s="99" t="s">
        <v>425</v>
      </c>
      <c r="I64" s="99" t="s">
        <v>192</v>
      </c>
      <c r="J64" s="99" t="s">
        <v>193</v>
      </c>
      <c r="K64" s="99" t="s">
        <v>426</v>
      </c>
      <c r="L64" s="99" t="s">
        <v>173</v>
      </c>
      <c r="M64" s="99"/>
      <c r="N64" s="99"/>
      <c r="O64" s="105">
        <v>2</v>
      </c>
      <c r="P64" s="105"/>
      <c r="Q64" s="106"/>
      <c r="R64" s="106"/>
      <c r="S64" s="105"/>
      <c r="T64" s="99" t="s">
        <v>416</v>
      </c>
      <c r="U64" s="99" t="s">
        <v>427</v>
      </c>
      <c r="V64" s="99"/>
      <c r="W64" s="99" t="s">
        <v>197</v>
      </c>
      <c r="X64" s="99" t="s">
        <v>150</v>
      </c>
      <c r="Y64" s="99"/>
      <c r="Z64" s="101">
        <f>VLOOKUP(D64,원가정보3!$E$5:$K$1048576,5,0)</f>
        <v>12225.400000000001</v>
      </c>
      <c r="AA64" s="98">
        <f t="shared" si="1"/>
        <v>24450.800000000003</v>
      </c>
      <c r="AB64" s="96"/>
    </row>
    <row r="65" spans="1:28" s="4" customFormat="1" outlineLevel="1">
      <c r="A65" s="99" t="s">
        <v>428</v>
      </c>
      <c r="B65" s="99"/>
      <c r="C65" s="102">
        <v>1</v>
      </c>
      <c r="D65" s="99" t="s">
        <v>429</v>
      </c>
      <c r="E65" s="99">
        <v>1840</v>
      </c>
      <c r="F65" s="99" t="s">
        <v>189</v>
      </c>
      <c r="G65" s="99" t="s">
        <v>413</v>
      </c>
      <c r="H65" s="99" t="s">
        <v>430</v>
      </c>
      <c r="I65" s="99" t="s">
        <v>192</v>
      </c>
      <c r="J65" s="99" t="s">
        <v>193</v>
      </c>
      <c r="K65" s="99" t="s">
        <v>431</v>
      </c>
      <c r="L65" s="99" t="s">
        <v>173</v>
      </c>
      <c r="M65" s="99"/>
      <c r="N65" s="99"/>
      <c r="O65" s="107">
        <f>ROUNDUP('사양 입력'!$C$14/5000+1,0)</f>
        <v>12</v>
      </c>
      <c r="P65" s="105"/>
      <c r="Q65" s="106"/>
      <c r="R65" s="106"/>
      <c r="S65" s="105"/>
      <c r="T65" s="99" t="s">
        <v>416</v>
      </c>
      <c r="U65" s="99" t="s">
        <v>432</v>
      </c>
      <c r="V65" s="99"/>
      <c r="W65" s="99" t="s">
        <v>197</v>
      </c>
      <c r="X65" s="99" t="s">
        <v>150</v>
      </c>
      <c r="Y65" s="99"/>
      <c r="Z65" s="101">
        <f>VLOOKUP(D65,원가정보3!$E$5:$K$1048576,5,0)</f>
        <v>12225.400000000001</v>
      </c>
      <c r="AA65" s="98">
        <f t="shared" si="1"/>
        <v>146704.80000000002</v>
      </c>
      <c r="AB65" s="96"/>
    </row>
    <row r="66" spans="1:28" s="4" customFormat="1" outlineLevel="1">
      <c r="A66" s="99" t="s">
        <v>433</v>
      </c>
      <c r="B66" s="99"/>
      <c r="C66" s="102">
        <v>1</v>
      </c>
      <c r="D66" s="99" t="s">
        <v>434</v>
      </c>
      <c r="E66" s="99">
        <v>1850</v>
      </c>
      <c r="F66" s="99" t="s">
        <v>189</v>
      </c>
      <c r="G66" s="99" t="s">
        <v>435</v>
      </c>
      <c r="H66" s="99" t="s">
        <v>436</v>
      </c>
      <c r="I66" s="99" t="s">
        <v>192</v>
      </c>
      <c r="J66" s="99" t="s">
        <v>193</v>
      </c>
      <c r="K66" s="99" t="s">
        <v>437</v>
      </c>
      <c r="L66" s="99" t="s">
        <v>173</v>
      </c>
      <c r="M66" s="99"/>
      <c r="N66" s="99"/>
      <c r="O66" s="105">
        <v>1</v>
      </c>
      <c r="P66" s="105"/>
      <c r="Q66" s="106"/>
      <c r="R66" s="106"/>
      <c r="S66" s="105"/>
      <c r="T66" s="99" t="s">
        <v>438</v>
      </c>
      <c r="U66" s="99" t="s">
        <v>234</v>
      </c>
      <c r="V66" s="99"/>
      <c r="W66" s="99" t="s">
        <v>197</v>
      </c>
      <c r="X66" s="99" t="s">
        <v>150</v>
      </c>
      <c r="Y66" s="99"/>
      <c r="Z66" s="101">
        <f>VLOOKUP(D66,원가정보3!$E$5:$K$1048576,5,0)</f>
        <v>22330</v>
      </c>
      <c r="AA66" s="98">
        <f t="shared" si="1"/>
        <v>22330</v>
      </c>
      <c r="AB66" s="96"/>
    </row>
    <row r="67" spans="1:28" s="4" customFormat="1" outlineLevel="1">
      <c r="A67" s="149" t="s">
        <v>439</v>
      </c>
      <c r="B67" s="149"/>
      <c r="C67" s="150">
        <v>1</v>
      </c>
      <c r="D67" s="151" t="str">
        <f>IF('사양 입력'!$G$9="NO","28610048G0200","28610053G0200")</f>
        <v>28610048G0200</v>
      </c>
      <c r="E67" s="149">
        <v>2070</v>
      </c>
      <c r="F67" s="149" t="s">
        <v>189</v>
      </c>
      <c r="G67" s="149" t="s">
        <v>440</v>
      </c>
      <c r="H67" s="152" t="str">
        <f>LEFT(D67,11)</f>
        <v>28610048G02</v>
      </c>
      <c r="I67" s="149" t="s">
        <v>192</v>
      </c>
      <c r="J67" s="149" t="s">
        <v>193</v>
      </c>
      <c r="K67" s="149" t="s">
        <v>441</v>
      </c>
      <c r="L67" s="149" t="s">
        <v>173</v>
      </c>
      <c r="M67" s="149"/>
      <c r="N67" s="149"/>
      <c r="O67" s="153">
        <v>1</v>
      </c>
      <c r="P67" s="153"/>
      <c r="Q67" s="154"/>
      <c r="R67" s="154"/>
      <c r="S67" s="153"/>
      <c r="T67" s="149" t="s">
        <v>442</v>
      </c>
      <c r="U67" s="149" t="s">
        <v>443</v>
      </c>
      <c r="V67" s="149"/>
      <c r="W67" s="149" t="s">
        <v>197</v>
      </c>
      <c r="X67" s="149" t="s">
        <v>150</v>
      </c>
      <c r="Y67" s="149"/>
      <c r="Z67" s="155">
        <f>VLOOKUP(D67,원가정보3!$E$5:$K$1048576,5,0)</f>
        <v>358061</v>
      </c>
      <c r="AA67" s="155">
        <f t="shared" si="1"/>
        <v>358061</v>
      </c>
      <c r="AB67" s="96"/>
    </row>
    <row r="68" spans="1:28" s="4" customFormat="1" outlineLevel="1">
      <c r="A68" s="99"/>
      <c r="B68" s="99"/>
      <c r="C68" s="102"/>
      <c r="D68" s="103" t="s">
        <v>444</v>
      </c>
      <c r="E68" s="99"/>
      <c r="F68" s="99"/>
      <c r="G68" s="99" t="s">
        <v>445</v>
      </c>
      <c r="H68" s="99" t="s">
        <v>446</v>
      </c>
      <c r="I68" s="99"/>
      <c r="J68" s="99"/>
      <c r="K68" s="99"/>
      <c r="L68" s="99"/>
      <c r="M68" s="99"/>
      <c r="N68" s="99"/>
      <c r="O68" s="105">
        <v>1</v>
      </c>
      <c r="P68" s="105"/>
      <c r="Q68" s="106"/>
      <c r="R68" s="106"/>
      <c r="S68" s="105"/>
      <c r="T68" s="99"/>
      <c r="U68" s="99"/>
      <c r="V68" s="99"/>
      <c r="W68" s="99"/>
      <c r="X68" s="99" t="s">
        <v>150</v>
      </c>
      <c r="Y68" s="99"/>
      <c r="Z68" s="101">
        <f>VLOOKUP(D68,원가정보3!$E$5:$K$1048576,5,0)</f>
        <v>27347.100000000002</v>
      </c>
      <c r="AA68" s="98">
        <f t="shared" si="1"/>
        <v>27347.100000000002</v>
      </c>
      <c r="AB68" s="96"/>
    </row>
    <row r="69" spans="1:28">
      <c r="A69" s="109"/>
      <c r="B69" s="109"/>
      <c r="C69" s="109"/>
      <c r="D69" s="99" t="s">
        <v>447</v>
      </c>
      <c r="E69" s="109"/>
      <c r="F69" s="109"/>
      <c r="G69" s="99" t="s">
        <v>448</v>
      </c>
      <c r="H69" s="103" t="str">
        <f>LEFT(D69,11)</f>
        <v>25910179G01</v>
      </c>
      <c r="I69" s="109"/>
      <c r="J69" s="109"/>
      <c r="K69" s="109"/>
      <c r="L69" s="99" t="s">
        <v>173</v>
      </c>
      <c r="M69" s="109"/>
      <c r="N69" s="109"/>
      <c r="O69" s="110">
        <f>'사양 입력'!C7</f>
        <v>15</v>
      </c>
      <c r="P69" s="109"/>
      <c r="Q69" s="109"/>
      <c r="R69" s="109"/>
      <c r="S69" s="109"/>
      <c r="T69" s="109"/>
      <c r="U69" s="109"/>
      <c r="V69" s="109"/>
      <c r="W69" s="109"/>
      <c r="X69" s="109" t="s">
        <v>150</v>
      </c>
      <c r="Y69" s="109"/>
      <c r="Z69" s="101">
        <f>VLOOKUP(D69,원가정보3!$E$5:$K$1048576,5,0)</f>
        <v>6956.4000000000005</v>
      </c>
      <c r="AA69" s="119">
        <f t="shared" si="1"/>
        <v>104346.00000000001</v>
      </c>
    </row>
    <row r="70" spans="1:28">
      <c r="A70" s="109"/>
      <c r="B70" s="109"/>
      <c r="C70" s="109"/>
      <c r="D70" s="99" t="s">
        <v>449</v>
      </c>
      <c r="E70" s="109"/>
      <c r="F70" s="109"/>
      <c r="G70" s="99" t="s">
        <v>450</v>
      </c>
      <c r="H70" s="103" t="str">
        <f>LEFT(D70,11)</f>
        <v>25910180G02</v>
      </c>
      <c r="I70" s="109"/>
      <c r="J70" s="109"/>
      <c r="K70" s="109"/>
      <c r="L70" s="99" t="s">
        <v>173</v>
      </c>
      <c r="M70" s="109"/>
      <c r="N70" s="109"/>
      <c r="O70" s="105">
        <v>1</v>
      </c>
      <c r="P70" s="109"/>
      <c r="Q70" s="109"/>
      <c r="R70" s="109"/>
      <c r="S70" s="109"/>
      <c r="T70" s="109"/>
      <c r="U70" s="109"/>
      <c r="V70" s="109"/>
      <c r="W70" s="109"/>
      <c r="X70" s="109" t="s">
        <v>150</v>
      </c>
      <c r="Y70" s="109"/>
      <c r="Z70" s="101">
        <f>VLOOKUP(D70,원가정보3!$E$5:$K$1048576,5,0)</f>
        <v>41310.5</v>
      </c>
      <c r="AA70" s="119">
        <f t="shared" si="1"/>
        <v>41310.5</v>
      </c>
    </row>
    <row r="71" spans="1:28" s="4" customFormat="1" outlineLevel="1">
      <c r="A71" s="99" t="s">
        <v>451</v>
      </c>
      <c r="B71" s="99"/>
      <c r="C71" s="102">
        <v>1</v>
      </c>
      <c r="D71" s="99" t="s">
        <v>452</v>
      </c>
      <c r="E71" s="99">
        <v>440</v>
      </c>
      <c r="F71" s="99" t="s">
        <v>189</v>
      </c>
      <c r="G71" s="99" t="s">
        <v>453</v>
      </c>
      <c r="H71" s="99" t="s">
        <v>454</v>
      </c>
      <c r="I71" s="99" t="s">
        <v>192</v>
      </c>
      <c r="J71" s="99" t="s">
        <v>193</v>
      </c>
      <c r="K71" s="99" t="s">
        <v>455</v>
      </c>
      <c r="L71" s="99" t="s">
        <v>173</v>
      </c>
      <c r="M71" s="99"/>
      <c r="N71" s="99">
        <v>1</v>
      </c>
      <c r="O71" s="105">
        <v>1</v>
      </c>
      <c r="P71" s="105"/>
      <c r="Q71" s="106"/>
      <c r="R71" s="106"/>
      <c r="S71" s="105"/>
      <c r="T71" s="99" t="s">
        <v>456</v>
      </c>
      <c r="U71" s="99" t="s">
        <v>457</v>
      </c>
      <c r="V71" s="99"/>
      <c r="W71" s="99" t="s">
        <v>197</v>
      </c>
      <c r="X71" s="99" t="s">
        <v>150</v>
      </c>
      <c r="Y71" s="99"/>
      <c r="Z71" s="101">
        <f>VLOOKUP(D71,원가정보3!$E$5:$K$1048576,5,0)</f>
        <v>21274</v>
      </c>
      <c r="AA71" s="98">
        <f t="shared" si="1"/>
        <v>21274</v>
      </c>
      <c r="AB71" s="96"/>
    </row>
    <row r="72" spans="1:28" s="4" customFormat="1" outlineLevel="1">
      <c r="A72" s="99" t="s">
        <v>458</v>
      </c>
      <c r="B72" s="99"/>
      <c r="C72" s="102">
        <v>1</v>
      </c>
      <c r="D72" s="99" t="s">
        <v>459</v>
      </c>
      <c r="E72" s="99">
        <v>450</v>
      </c>
      <c r="F72" s="99" t="s">
        <v>193</v>
      </c>
      <c r="G72" s="99" t="s">
        <v>460</v>
      </c>
      <c r="H72" s="99" t="s">
        <v>461</v>
      </c>
      <c r="I72" s="99" t="s">
        <v>192</v>
      </c>
      <c r="J72" s="99" t="s">
        <v>285</v>
      </c>
      <c r="K72" s="99" t="s">
        <v>462</v>
      </c>
      <c r="L72" s="99" t="s">
        <v>173</v>
      </c>
      <c r="M72" s="99"/>
      <c r="N72" s="99">
        <v>1</v>
      </c>
      <c r="O72" s="105">
        <v>1</v>
      </c>
      <c r="P72" s="105"/>
      <c r="Q72" s="106"/>
      <c r="R72" s="106"/>
      <c r="S72" s="105"/>
      <c r="T72" s="99" t="s">
        <v>463</v>
      </c>
      <c r="U72" s="99" t="s">
        <v>464</v>
      </c>
      <c r="V72" s="99"/>
      <c r="W72" s="99" t="s">
        <v>197</v>
      </c>
      <c r="X72" s="99" t="s">
        <v>150</v>
      </c>
      <c r="Y72" s="99"/>
      <c r="Z72" s="101">
        <f>VLOOKUP(D72,원가정보3!$E$5:$K$1048576,5,0)</f>
        <v>19147.7</v>
      </c>
      <c r="AA72" s="98">
        <f t="shared" si="1"/>
        <v>19147.7</v>
      </c>
      <c r="AB72" s="96"/>
    </row>
    <row r="73" spans="1:28" s="3" customFormat="1" outlineLevel="1">
      <c r="A73" s="99"/>
      <c r="B73" s="99"/>
      <c r="C73" s="102"/>
      <c r="D73" s="345" t="s">
        <v>465</v>
      </c>
      <c r="E73" s="99"/>
      <c r="F73" s="99"/>
      <c r="G73" s="346" t="s">
        <v>466</v>
      </c>
      <c r="H73" s="347" t="s">
        <v>467</v>
      </c>
      <c r="I73" s="99"/>
      <c r="J73" s="99"/>
      <c r="K73" s="99"/>
      <c r="L73" s="99"/>
      <c r="M73" s="99"/>
      <c r="N73" s="99"/>
      <c r="O73" s="105">
        <v>1</v>
      </c>
      <c r="P73" s="105"/>
      <c r="Q73" s="106"/>
      <c r="R73" s="106"/>
      <c r="S73" s="105"/>
      <c r="T73" s="99"/>
      <c r="U73" s="99"/>
      <c r="V73" s="99"/>
      <c r="W73" s="99"/>
      <c r="X73" s="99" t="s">
        <v>224</v>
      </c>
      <c r="Y73" s="99"/>
      <c r="Z73" s="101">
        <f>VLOOKUP(D73,원가정보3!$E$5:$K$1048576,5,0)</f>
        <v>27912.500000000004</v>
      </c>
      <c r="AA73" s="98">
        <f>Z73*O73</f>
        <v>27912.500000000004</v>
      </c>
      <c r="AB73" s="3" t="s">
        <v>225</v>
      </c>
    </row>
    <row r="74" spans="1:28" s="3" customFormat="1" outlineLevel="1">
      <c r="A74" s="99"/>
      <c r="B74" s="99"/>
      <c r="C74" s="102"/>
      <c r="D74" s="322" t="s">
        <v>468</v>
      </c>
      <c r="E74" s="344"/>
      <c r="F74" s="344"/>
      <c r="G74" t="s">
        <v>469</v>
      </c>
      <c r="H74" s="322" t="s">
        <v>470</v>
      </c>
      <c r="I74" s="99"/>
      <c r="J74" s="99"/>
      <c r="K74" s="99"/>
      <c r="L74" s="99"/>
      <c r="M74" s="99"/>
      <c r="N74" s="99"/>
      <c r="O74" s="105">
        <v>2</v>
      </c>
      <c r="P74" s="105"/>
      <c r="Q74" s="106"/>
      <c r="R74" s="106"/>
      <c r="S74" s="105"/>
      <c r="T74" s="99"/>
      <c r="U74" s="99"/>
      <c r="V74" s="99"/>
      <c r="W74" s="99"/>
      <c r="X74" s="99" t="s">
        <v>224</v>
      </c>
      <c r="Y74" s="99"/>
      <c r="Z74" s="101">
        <f>VLOOKUP(D74,원가정보3!$E$5:$K$1048576,5,0)</f>
        <v>18980.5</v>
      </c>
      <c r="AA74" s="98">
        <f>Z74*O74</f>
        <v>37961</v>
      </c>
      <c r="AB74" s="3" t="s">
        <v>225</v>
      </c>
    </row>
    <row r="75" spans="1:28">
      <c r="A75" s="109"/>
      <c r="B75" s="109"/>
      <c r="C75" s="109"/>
      <c r="D75" s="99" t="s">
        <v>471</v>
      </c>
      <c r="E75" s="109"/>
      <c r="F75" s="109"/>
      <c r="G75" s="99" t="s">
        <v>472</v>
      </c>
      <c r="H75" s="99" t="s">
        <v>473</v>
      </c>
      <c r="I75" s="109"/>
      <c r="J75" s="109"/>
      <c r="K75" s="109"/>
      <c r="L75" s="99" t="s">
        <v>173</v>
      </c>
      <c r="M75" s="109"/>
      <c r="N75" s="109"/>
      <c r="O75" s="105">
        <v>1</v>
      </c>
      <c r="P75" s="109"/>
      <c r="Q75" s="109"/>
      <c r="R75" s="109"/>
      <c r="S75" s="109"/>
      <c r="T75" s="109"/>
      <c r="U75" s="109"/>
      <c r="V75" s="109"/>
      <c r="W75" s="109"/>
      <c r="X75" s="109" t="s">
        <v>150</v>
      </c>
      <c r="Y75" s="109"/>
      <c r="Z75" s="101">
        <f>VLOOKUP(D75,원가정보3!$E$5:$K$1048576,5,0)</f>
        <v>21827.300000000003</v>
      </c>
      <c r="AA75" s="119">
        <f t="shared" si="1"/>
        <v>21827.300000000003</v>
      </c>
    </row>
    <row r="76" spans="1:28">
      <c r="A76" s="134"/>
      <c r="B76" s="134"/>
      <c r="C76" s="134"/>
      <c r="D76" s="135" t="s">
        <v>474</v>
      </c>
      <c r="E76" s="134"/>
      <c r="F76" s="134"/>
      <c r="G76" s="136" t="s">
        <v>475</v>
      </c>
      <c r="H76" s="134" t="s">
        <v>476</v>
      </c>
      <c r="I76" s="134"/>
      <c r="J76" s="134"/>
      <c r="K76" s="134"/>
      <c r="L76" s="134"/>
      <c r="M76" s="134"/>
      <c r="N76" s="134"/>
      <c r="O76" s="137">
        <f>IF('사양 입력'!$J$5=WBSS!G76,'사양 입력'!$K$5,0)</f>
        <v>0</v>
      </c>
      <c r="P76" s="134"/>
      <c r="Q76" s="134"/>
      <c r="R76" s="134"/>
      <c r="S76" s="134"/>
      <c r="T76" s="134"/>
      <c r="U76" s="134"/>
      <c r="V76" s="134"/>
      <c r="W76" s="134"/>
      <c r="X76" s="134" t="s">
        <v>150</v>
      </c>
      <c r="Y76" s="134"/>
      <c r="Z76" s="138">
        <f>VLOOKUP(D76,원가정보3!$E$5:$K$1048576,5,0)</f>
        <v>27129</v>
      </c>
      <c r="AA76" s="139">
        <f t="shared" si="1"/>
        <v>0</v>
      </c>
    </row>
    <row r="77" spans="1:28">
      <c r="A77" s="134"/>
      <c r="B77" s="134"/>
      <c r="C77" s="134"/>
      <c r="D77" s="135" t="s">
        <v>477</v>
      </c>
      <c r="E77" s="134"/>
      <c r="F77" s="134"/>
      <c r="G77" s="134" t="s">
        <v>74</v>
      </c>
      <c r="H77" s="134" t="s">
        <v>478</v>
      </c>
      <c r="I77" s="134"/>
      <c r="J77" s="134"/>
      <c r="K77" s="134"/>
      <c r="L77" s="134"/>
      <c r="M77" s="134"/>
      <c r="N77" s="134"/>
      <c r="O77" s="137">
        <f>IF('사양 입력'!$J$5=WBSS!G77,'사양 입력'!$K$5,0)</f>
        <v>14</v>
      </c>
      <c r="P77" s="134"/>
      <c r="Q77" s="134"/>
      <c r="R77" s="134"/>
      <c r="S77" s="134"/>
      <c r="T77" s="134"/>
      <c r="U77" s="134"/>
      <c r="V77" s="134"/>
      <c r="W77" s="134"/>
      <c r="X77" s="134" t="s">
        <v>150</v>
      </c>
      <c r="Y77" s="134"/>
      <c r="Z77" s="138">
        <f>VLOOKUP(D77,원가정보3!$E$5:$K$1048576,5,0)</f>
        <v>27522</v>
      </c>
      <c r="AA77" s="139">
        <f t="shared" ref="AA77:AA89" si="3">Z77*O77</f>
        <v>385308</v>
      </c>
    </row>
    <row r="78" spans="1:28">
      <c r="A78" s="134"/>
      <c r="B78" s="134"/>
      <c r="C78" s="134"/>
      <c r="D78" s="135" t="s">
        <v>479</v>
      </c>
      <c r="E78" s="134"/>
      <c r="F78" s="134"/>
      <c r="G78" s="136" t="s">
        <v>480</v>
      </c>
      <c r="H78" s="134" t="s">
        <v>481</v>
      </c>
      <c r="I78" s="134"/>
      <c r="J78" s="134"/>
      <c r="K78" s="134"/>
      <c r="L78" s="134"/>
      <c r="M78" s="134"/>
      <c r="N78" s="134"/>
      <c r="O78" s="137">
        <f>IF('사양 입력'!$J$5=WBSS!G78,'사양 입력'!$K$5,0)</f>
        <v>0</v>
      </c>
      <c r="P78" s="134"/>
      <c r="Q78" s="134"/>
      <c r="R78" s="134"/>
      <c r="S78" s="134"/>
      <c r="T78" s="134"/>
      <c r="U78" s="134"/>
      <c r="V78" s="134"/>
      <c r="W78" s="134"/>
      <c r="X78" s="134" t="s">
        <v>150</v>
      </c>
      <c r="Y78" s="134"/>
      <c r="Z78" s="138">
        <f>VLOOKUP(D78,원가정보3!$E$5:$K$1048576,5,0)</f>
        <v>113883.00000000001</v>
      </c>
      <c r="AA78" s="139">
        <f t="shared" si="3"/>
        <v>0</v>
      </c>
    </row>
    <row r="79" spans="1:28">
      <c r="A79" s="134"/>
      <c r="B79" s="134"/>
      <c r="C79" s="134"/>
      <c r="D79" s="135" t="s">
        <v>482</v>
      </c>
      <c r="E79" s="134"/>
      <c r="F79" s="134"/>
      <c r="G79" s="136" t="s">
        <v>483</v>
      </c>
      <c r="H79" s="134" t="s">
        <v>484</v>
      </c>
      <c r="I79" s="134"/>
      <c r="J79" s="134"/>
      <c r="K79" s="134"/>
      <c r="L79" s="134"/>
      <c r="M79" s="134"/>
      <c r="N79" s="134"/>
      <c r="O79" s="137">
        <f>IF('사양 입력'!$J$7=WBSS!G79,'사양 입력'!$K$7,0)</f>
        <v>0</v>
      </c>
      <c r="P79" s="134"/>
      <c r="Q79" s="134"/>
      <c r="R79" s="134"/>
      <c r="S79" s="134"/>
      <c r="T79" s="134"/>
      <c r="U79" s="134"/>
      <c r="V79" s="134"/>
      <c r="W79" s="134"/>
      <c r="X79" s="134" t="s">
        <v>150</v>
      </c>
      <c r="Y79" s="134"/>
      <c r="Z79" s="138">
        <f>VLOOKUP(D79,원가정보3!$E$5:$K$1048576,5,0)</f>
        <v>27216</v>
      </c>
      <c r="AA79" s="139">
        <f t="shared" si="3"/>
        <v>0</v>
      </c>
    </row>
    <row r="80" spans="1:28">
      <c r="A80" s="134"/>
      <c r="B80" s="134"/>
      <c r="C80" s="134"/>
      <c r="D80" s="135" t="s">
        <v>485</v>
      </c>
      <c r="E80" s="134"/>
      <c r="F80" s="134"/>
      <c r="G80" s="134" t="s">
        <v>81</v>
      </c>
      <c r="H80" s="134" t="s">
        <v>486</v>
      </c>
      <c r="I80" s="134"/>
      <c r="J80" s="134"/>
      <c r="K80" s="134"/>
      <c r="L80" s="134"/>
      <c r="M80" s="134"/>
      <c r="N80" s="134"/>
      <c r="O80" s="137">
        <f>IF('사양 입력'!$J$7=WBSS!G80,'사양 입력'!$K$7,0)</f>
        <v>1</v>
      </c>
      <c r="P80" s="134"/>
      <c r="Q80" s="134"/>
      <c r="R80" s="134"/>
      <c r="S80" s="134"/>
      <c r="T80" s="134"/>
      <c r="U80" s="134"/>
      <c r="V80" s="134"/>
      <c r="W80" s="134"/>
      <c r="X80" s="134" t="s">
        <v>150</v>
      </c>
      <c r="Y80" s="134"/>
      <c r="Z80" s="138">
        <f>VLOOKUP(D80,원가정보3!$E$5:$K$1048576,5,0)</f>
        <v>25435</v>
      </c>
      <c r="AA80" s="139">
        <f t="shared" si="3"/>
        <v>25435</v>
      </c>
    </row>
    <row r="81" spans="1:28">
      <c r="A81" s="134"/>
      <c r="B81" s="134"/>
      <c r="C81" s="134"/>
      <c r="D81" s="135" t="s">
        <v>487</v>
      </c>
      <c r="E81" s="134"/>
      <c r="F81" s="134"/>
      <c r="G81" s="136" t="s">
        <v>488</v>
      </c>
      <c r="H81" s="134" t="s">
        <v>489</v>
      </c>
      <c r="I81" s="134"/>
      <c r="J81" s="134"/>
      <c r="K81" s="134"/>
      <c r="L81" s="134"/>
      <c r="M81" s="134"/>
      <c r="N81" s="134"/>
      <c r="O81" s="137">
        <f>IF('사양 입력'!$J$7=WBSS!G81,'사양 입력'!$K$7,0)</f>
        <v>0</v>
      </c>
      <c r="P81" s="134"/>
      <c r="Q81" s="134"/>
      <c r="R81" s="134"/>
      <c r="S81" s="134"/>
      <c r="T81" s="134"/>
      <c r="U81" s="134"/>
      <c r="V81" s="134"/>
      <c r="W81" s="134"/>
      <c r="X81" s="134" t="s">
        <v>150</v>
      </c>
      <c r="Y81" s="134"/>
      <c r="Z81" s="138">
        <f>VLOOKUP(D81,원가정보3!$E$5:$K$1048576,5,0)</f>
        <v>117232.50000000001</v>
      </c>
      <c r="AA81" s="139">
        <f t="shared" si="3"/>
        <v>0</v>
      </c>
    </row>
    <row r="82" spans="1:28">
      <c r="A82" s="134"/>
      <c r="B82" s="134"/>
      <c r="C82" s="134"/>
      <c r="D82" s="135" t="s">
        <v>482</v>
      </c>
      <c r="E82" s="134"/>
      <c r="F82" s="134"/>
      <c r="G82" s="136" t="s">
        <v>490</v>
      </c>
      <c r="H82" s="134" t="s">
        <v>484</v>
      </c>
      <c r="I82" s="134"/>
      <c r="J82" s="134"/>
      <c r="K82" s="134"/>
      <c r="L82" s="134"/>
      <c r="M82" s="134"/>
      <c r="N82" s="134"/>
      <c r="O82" s="137">
        <f>IF('사양 입력'!$J$8=WBSS!G82,'사양 입력'!$K$8,0)</f>
        <v>0</v>
      </c>
      <c r="P82" s="134"/>
      <c r="Q82" s="134"/>
      <c r="R82" s="134"/>
      <c r="S82" s="134"/>
      <c r="T82" s="134"/>
      <c r="U82" s="134"/>
      <c r="V82" s="134"/>
      <c r="W82" s="134"/>
      <c r="X82" s="134" t="s">
        <v>150</v>
      </c>
      <c r="Y82" s="134"/>
      <c r="Z82" s="138">
        <f>VLOOKUP(D82,원가정보3!$E$5:$K$1048576,5,0)</f>
        <v>27216</v>
      </c>
      <c r="AA82" s="139">
        <f t="shared" si="3"/>
        <v>0</v>
      </c>
    </row>
    <row r="83" spans="1:28">
      <c r="A83" s="134"/>
      <c r="B83" s="134"/>
      <c r="C83" s="134"/>
      <c r="D83" s="135" t="s">
        <v>485</v>
      </c>
      <c r="E83" s="134"/>
      <c r="F83" s="134"/>
      <c r="G83" s="134" t="s">
        <v>85</v>
      </c>
      <c r="H83" s="134" t="s">
        <v>486</v>
      </c>
      <c r="I83" s="134"/>
      <c r="J83" s="134"/>
      <c r="K83" s="134"/>
      <c r="L83" s="134"/>
      <c r="M83" s="134"/>
      <c r="N83" s="134"/>
      <c r="O83" s="137">
        <f>IF('사양 입력'!$J$8=WBSS!G83,'사양 입력'!$K$8,0)</f>
        <v>1</v>
      </c>
      <c r="P83" s="134"/>
      <c r="Q83" s="134"/>
      <c r="R83" s="134"/>
      <c r="S83" s="134"/>
      <c r="T83" s="134"/>
      <c r="U83" s="134"/>
      <c r="V83" s="134"/>
      <c r="W83" s="134"/>
      <c r="X83" s="134" t="s">
        <v>150</v>
      </c>
      <c r="Y83" s="134"/>
      <c r="Z83" s="138">
        <f>VLOOKUP(D83,원가정보3!$E$5:$K$1048576,5,0)</f>
        <v>25435</v>
      </c>
      <c r="AA83" s="139">
        <f t="shared" si="3"/>
        <v>25435</v>
      </c>
    </row>
    <row r="84" spans="1:28">
      <c r="A84" s="134"/>
      <c r="B84" s="134"/>
      <c r="C84" s="134"/>
      <c r="D84" s="135" t="s">
        <v>487</v>
      </c>
      <c r="E84" s="134"/>
      <c r="F84" s="134"/>
      <c r="G84" s="136" t="s">
        <v>491</v>
      </c>
      <c r="H84" s="134" t="s">
        <v>489</v>
      </c>
      <c r="I84" s="134"/>
      <c r="J84" s="134"/>
      <c r="K84" s="134"/>
      <c r="L84" s="134"/>
      <c r="M84" s="134"/>
      <c r="N84" s="134"/>
      <c r="O84" s="137">
        <f>IF('사양 입력'!$J$8=WBSS!G84,'사양 입력'!$K$8,0)</f>
        <v>0</v>
      </c>
      <c r="P84" s="134"/>
      <c r="Q84" s="134"/>
      <c r="R84" s="134"/>
      <c r="S84" s="134"/>
      <c r="T84" s="134"/>
      <c r="U84" s="134"/>
      <c r="V84" s="134"/>
      <c r="W84" s="134"/>
      <c r="X84" s="134" t="s">
        <v>150</v>
      </c>
      <c r="Y84" s="134"/>
      <c r="Z84" s="138">
        <f>VLOOKUP(D84,원가정보3!$E$5:$K$1048576,5,0)</f>
        <v>117232.50000000001</v>
      </c>
      <c r="AA84" s="139">
        <f t="shared" si="3"/>
        <v>0</v>
      </c>
    </row>
    <row r="85" spans="1:28">
      <c r="A85" s="134"/>
      <c r="B85" s="134"/>
      <c r="C85" s="134"/>
      <c r="D85" s="135" t="s">
        <v>492</v>
      </c>
      <c r="E85" s="134"/>
      <c r="F85" s="134"/>
      <c r="G85" s="136" t="s">
        <v>493</v>
      </c>
      <c r="H85" s="134" t="s">
        <v>494</v>
      </c>
      <c r="I85" s="134"/>
      <c r="J85" s="134"/>
      <c r="K85" s="134"/>
      <c r="L85" s="134"/>
      <c r="M85" s="134"/>
      <c r="N85" s="134"/>
      <c r="O85" s="137">
        <f>IF('사양 입력'!$J$4=WBSS!G85,'사양 입력'!$K$4,0)</f>
        <v>0</v>
      </c>
      <c r="P85" s="134"/>
      <c r="Q85" s="134"/>
      <c r="R85" s="134"/>
      <c r="S85" s="134"/>
      <c r="T85" s="134"/>
      <c r="U85" s="134"/>
      <c r="V85" s="134"/>
      <c r="W85" s="134"/>
      <c r="X85" s="134" t="s">
        <v>150</v>
      </c>
      <c r="Y85" s="134"/>
      <c r="Z85" s="138">
        <f>VLOOKUP(D85,원가정보3!$E$5:$K$1048576,5,0)</f>
        <v>68345</v>
      </c>
      <c r="AA85" s="139">
        <f t="shared" si="3"/>
        <v>0</v>
      </c>
    </row>
    <row r="86" spans="1:28">
      <c r="A86" s="134"/>
      <c r="B86" s="134"/>
      <c r="C86" s="134"/>
      <c r="D86" s="135" t="s">
        <v>495</v>
      </c>
      <c r="E86" s="134"/>
      <c r="F86" s="134"/>
      <c r="G86" s="134" t="s">
        <v>71</v>
      </c>
      <c r="H86" s="134" t="s">
        <v>496</v>
      </c>
      <c r="I86" s="134"/>
      <c r="J86" s="134"/>
      <c r="K86" s="134"/>
      <c r="L86" s="134"/>
      <c r="M86" s="134"/>
      <c r="N86" s="134"/>
      <c r="O86" s="137">
        <f>IF('사양 입력'!$J$4=WBSS!G86,'사양 입력'!$K$4,0)</f>
        <v>1</v>
      </c>
      <c r="P86" s="134"/>
      <c r="Q86" s="134"/>
      <c r="R86" s="134"/>
      <c r="S86" s="134"/>
      <c r="T86" s="134"/>
      <c r="U86" s="134"/>
      <c r="V86" s="134"/>
      <c r="W86" s="134"/>
      <c r="X86" s="134" t="s">
        <v>150</v>
      </c>
      <c r="Y86" s="134"/>
      <c r="Z86" s="138">
        <f>VLOOKUP(D86,원가정보3!$E$5:$K$1048576,5,0)</f>
        <v>27522</v>
      </c>
      <c r="AA86" s="139">
        <f t="shared" si="3"/>
        <v>27522</v>
      </c>
    </row>
    <row r="87" spans="1:28">
      <c r="A87" s="134"/>
      <c r="B87" s="134"/>
      <c r="C87" s="134"/>
      <c r="D87" s="135" t="s">
        <v>497</v>
      </c>
      <c r="E87" s="134"/>
      <c r="F87" s="134"/>
      <c r="G87" s="136" t="s">
        <v>498</v>
      </c>
      <c r="H87" s="134" t="s">
        <v>499</v>
      </c>
      <c r="I87" s="134"/>
      <c r="J87" s="134"/>
      <c r="K87" s="134"/>
      <c r="L87" s="134"/>
      <c r="M87" s="134"/>
      <c r="N87" s="134"/>
      <c r="O87" s="137">
        <f>IF('사양 입력'!$J$4=WBSS!G87,'사양 입력'!$K$4,0)</f>
        <v>0</v>
      </c>
      <c r="P87" s="134"/>
      <c r="Q87" s="134"/>
      <c r="R87" s="134"/>
      <c r="S87" s="134"/>
      <c r="T87" s="134"/>
      <c r="U87" s="134"/>
      <c r="V87" s="134"/>
      <c r="W87" s="134"/>
      <c r="X87" s="134" t="s">
        <v>150</v>
      </c>
      <c r="Y87" s="134"/>
      <c r="Z87" s="138">
        <f>VLOOKUP(D87,원가정보3!$E$5:$K$1048576,5,0)</f>
        <v>94343.700000000012</v>
      </c>
      <c r="AA87" s="139">
        <f t="shared" si="3"/>
        <v>0</v>
      </c>
    </row>
    <row r="88" spans="1:28">
      <c r="A88" s="134"/>
      <c r="B88" s="134"/>
      <c r="C88" s="134"/>
      <c r="D88" s="135" t="s">
        <v>500</v>
      </c>
      <c r="E88" s="134"/>
      <c r="F88" s="134"/>
      <c r="G88" s="136" t="s">
        <v>501</v>
      </c>
      <c r="H88" s="134" t="s">
        <v>502</v>
      </c>
      <c r="I88" s="134"/>
      <c r="J88" s="134"/>
      <c r="K88" s="134"/>
      <c r="L88" s="134"/>
      <c r="M88" s="134"/>
      <c r="N88" s="134"/>
      <c r="O88" s="137">
        <f>IF(NOT('사양 입력'!J4="COP 원형 DOT"),1,0)</f>
        <v>1</v>
      </c>
      <c r="P88" s="134"/>
      <c r="Q88" s="134"/>
      <c r="R88" s="134"/>
      <c r="S88" s="134"/>
      <c r="T88" s="134"/>
      <c r="U88" s="134"/>
      <c r="V88" s="134"/>
      <c r="W88" s="134"/>
      <c r="X88" s="134" t="s">
        <v>150</v>
      </c>
      <c r="Y88" s="134"/>
      <c r="Z88" s="138">
        <f>VLOOKUP(D88,원가정보3!$E$5:$K$1048576,5,0)</f>
        <v>54167</v>
      </c>
      <c r="AA88" s="139">
        <f t="shared" si="3"/>
        <v>54167</v>
      </c>
    </row>
    <row r="89" spans="1:28">
      <c r="A89" s="134"/>
      <c r="B89" s="134"/>
      <c r="C89" s="134"/>
      <c r="D89" s="135" t="s">
        <v>503</v>
      </c>
      <c r="E89" s="134"/>
      <c r="F89" s="134"/>
      <c r="G89" s="140" t="s">
        <v>504</v>
      </c>
      <c r="H89" s="134" t="s">
        <v>505</v>
      </c>
      <c r="I89" s="134"/>
      <c r="J89" s="134"/>
      <c r="K89" s="134"/>
      <c r="L89" s="134"/>
      <c r="M89" s="134"/>
      <c r="N89" s="134"/>
      <c r="O89" s="137">
        <f>'사양 입력'!$K$9</f>
        <v>0</v>
      </c>
      <c r="P89" s="134"/>
      <c r="Q89" s="134"/>
      <c r="R89" s="134"/>
      <c r="S89" s="134"/>
      <c r="T89" s="134"/>
      <c r="U89" s="134"/>
      <c r="V89" s="134"/>
      <c r="W89" s="134"/>
      <c r="X89" s="134" t="s">
        <v>150</v>
      </c>
      <c r="Y89" s="134"/>
      <c r="Z89" s="138">
        <f>VLOOKUP(D89,원가정보3!$E$5:$K$1048576,5,0)</f>
        <v>17030</v>
      </c>
      <c r="AA89" s="139">
        <f t="shared" si="3"/>
        <v>0</v>
      </c>
    </row>
    <row r="90" spans="1:28">
      <c r="A90" s="109"/>
      <c r="B90" s="109"/>
      <c r="C90" s="109"/>
      <c r="D90" s="111" t="s">
        <v>506</v>
      </c>
      <c r="E90" s="109"/>
      <c r="F90" s="109"/>
      <c r="G90" s="318" t="s">
        <v>507</v>
      </c>
      <c r="H90" s="109" t="s">
        <v>508</v>
      </c>
      <c r="I90" s="109"/>
      <c r="J90" s="109"/>
      <c r="K90" s="109"/>
      <c r="L90" s="109"/>
      <c r="M90" s="109"/>
      <c r="N90" s="109"/>
      <c r="O90" s="109">
        <f>IF('사양 입력'!$K$11="Y",2,0)</f>
        <v>0</v>
      </c>
      <c r="P90" s="109"/>
      <c r="Q90" s="109"/>
      <c r="R90" s="109"/>
      <c r="S90" s="109"/>
      <c r="T90" s="109"/>
      <c r="U90" s="109"/>
      <c r="V90" s="109"/>
      <c r="W90" s="109"/>
      <c r="X90" s="109" t="s">
        <v>150</v>
      </c>
      <c r="Y90" s="109"/>
      <c r="Z90" s="101">
        <f>VLOOKUP(D90,원가정보3!$E$5:$I$1048576,5,0)</f>
        <v>8932</v>
      </c>
      <c r="AA90" s="101">
        <f>Z90*O90</f>
        <v>0</v>
      </c>
    </row>
    <row r="91" spans="1:28">
      <c r="A91" s="109"/>
      <c r="B91" s="109"/>
      <c r="C91" s="109"/>
      <c r="D91" s="111" t="s">
        <v>509</v>
      </c>
      <c r="E91" s="109"/>
      <c r="F91" s="109"/>
      <c r="G91" s="318" t="s">
        <v>510</v>
      </c>
      <c r="H91" s="109" t="s">
        <v>511</v>
      </c>
      <c r="I91" s="109"/>
      <c r="J91" s="109"/>
      <c r="K91" s="109"/>
      <c r="L91" s="109"/>
      <c r="M91" s="109"/>
      <c r="N91" s="109"/>
      <c r="O91" s="109">
        <f>IF('사양 입력'!$K$11="Y",1,0)</f>
        <v>0</v>
      </c>
      <c r="P91" s="109"/>
      <c r="Q91" s="109"/>
      <c r="R91" s="109"/>
      <c r="S91" s="109"/>
      <c r="T91" s="109"/>
      <c r="U91" s="109"/>
      <c r="V91" s="109"/>
      <c r="W91" s="109"/>
      <c r="X91" s="109" t="s">
        <v>150</v>
      </c>
      <c r="Y91" s="109"/>
      <c r="Z91" s="101">
        <f>VLOOKUP(D91,원가정보3!$E$5:$I$1048576,5,0)</f>
        <v>10048.5</v>
      </c>
      <c r="AA91" s="101">
        <f>Z91*O91</f>
        <v>0</v>
      </c>
    </row>
    <row r="92" spans="1:28">
      <c r="A92" s="109"/>
      <c r="B92" s="109"/>
      <c r="C92" s="109"/>
      <c r="D92" s="111" t="s">
        <v>512</v>
      </c>
      <c r="E92" s="109"/>
      <c r="F92" s="109"/>
      <c r="G92" s="318" t="s">
        <v>513</v>
      </c>
      <c r="H92" s="109" t="s">
        <v>514</v>
      </c>
      <c r="I92" s="109"/>
      <c r="J92" s="109"/>
      <c r="K92" s="109"/>
      <c r="L92" s="109"/>
      <c r="M92" s="109"/>
      <c r="N92" s="109"/>
      <c r="O92" s="109">
        <f>IF('사양 입력'!$K$11="Y",1,0)</f>
        <v>0</v>
      </c>
      <c r="P92" s="109"/>
      <c r="Q92" s="109"/>
      <c r="R92" s="109"/>
      <c r="S92" s="109"/>
      <c r="T92" s="109"/>
      <c r="U92" s="109"/>
      <c r="V92" s="109"/>
      <c r="W92" s="109"/>
      <c r="X92" s="109" t="s">
        <v>150</v>
      </c>
      <c r="Y92" s="109"/>
      <c r="Z92" s="101">
        <f>VLOOKUP(D92,원가정보3!$E$5:$I$1048576,5,0)</f>
        <v>80638.8</v>
      </c>
      <c r="AA92" s="101">
        <f>Z92*O92</f>
        <v>0</v>
      </c>
    </row>
    <row r="93" spans="1:28">
      <c r="A93" s="109"/>
      <c r="B93" s="109"/>
      <c r="C93" s="109"/>
      <c r="D93" s="111" t="s">
        <v>515</v>
      </c>
      <c r="E93" s="109"/>
      <c r="F93" s="109"/>
      <c r="G93" s="318" t="s">
        <v>516</v>
      </c>
      <c r="H93" s="109" t="s">
        <v>517</v>
      </c>
      <c r="I93" s="109"/>
      <c r="J93" s="109"/>
      <c r="K93" s="109"/>
      <c r="L93" s="109"/>
      <c r="M93" s="109"/>
      <c r="N93" s="109"/>
      <c r="O93" s="109">
        <f>IF('사양 입력'!$K$11="Y",1,0)</f>
        <v>0</v>
      </c>
      <c r="P93" s="109"/>
      <c r="Q93" s="109"/>
      <c r="R93" s="109"/>
      <c r="S93" s="109"/>
      <c r="T93" s="109"/>
      <c r="U93" s="109"/>
      <c r="V93" s="109"/>
      <c r="W93" s="109"/>
      <c r="X93" s="109" t="s">
        <v>150</v>
      </c>
      <c r="Y93" s="109"/>
      <c r="Z93" s="101">
        <f>VLOOKUP(D93,원가정보3!$E$5:$I$1048576,5,0)</f>
        <v>4912.6000000000004</v>
      </c>
      <c r="AA93" s="101">
        <f>Z93*O93</f>
        <v>0</v>
      </c>
    </row>
    <row r="94" spans="1:28">
      <c r="A94" s="109"/>
      <c r="B94" s="109"/>
      <c r="C94" s="109"/>
      <c r="D94" s="111" t="s">
        <v>518</v>
      </c>
      <c r="E94" s="109"/>
      <c r="F94" s="109"/>
      <c r="G94" s="318" t="s">
        <v>519</v>
      </c>
      <c r="H94" s="109" t="s">
        <v>520</v>
      </c>
      <c r="I94" s="109"/>
      <c r="J94" s="109"/>
      <c r="K94" s="109"/>
      <c r="L94" s="109"/>
      <c r="M94" s="109"/>
      <c r="N94" s="109"/>
      <c r="O94" s="109">
        <f>IF('사양 입력'!$K$11="Y",1,0)</f>
        <v>0</v>
      </c>
      <c r="P94" s="109"/>
      <c r="Q94" s="109"/>
      <c r="R94" s="109"/>
      <c r="S94" s="109"/>
      <c r="T94" s="109"/>
      <c r="U94" s="109"/>
      <c r="V94" s="109"/>
      <c r="W94" s="109"/>
      <c r="X94" s="109" t="s">
        <v>150</v>
      </c>
      <c r="Y94" s="109"/>
      <c r="Z94" s="101">
        <f>VLOOKUP(D94,원가정보3!$E$5:$I$1048576,5,0)</f>
        <v>208785.50000000003</v>
      </c>
      <c r="AA94" s="101">
        <f t="shared" ref="AA94" si="4">Z94*O94</f>
        <v>0</v>
      </c>
    </row>
    <row r="95" spans="1:28">
      <c r="A95" s="109"/>
      <c r="B95" s="109"/>
      <c r="C95" s="109"/>
      <c r="D95" s="316" t="s">
        <v>521</v>
      </c>
      <c r="E95" s="109"/>
      <c r="F95" s="109"/>
      <c r="G95" s="109" t="s">
        <v>522</v>
      </c>
      <c r="H95" s="318" t="s">
        <v>523</v>
      </c>
      <c r="I95" s="109"/>
      <c r="J95" s="109"/>
      <c r="K95" s="109"/>
      <c r="L95" s="109"/>
      <c r="M95" s="109"/>
      <c r="N95" s="109"/>
      <c r="O95" s="109">
        <f>IF('사양 입력'!$K$12="Y",5,0)</f>
        <v>0</v>
      </c>
      <c r="P95" s="109"/>
      <c r="Q95" s="109"/>
      <c r="R95" s="109"/>
      <c r="S95" s="109"/>
      <c r="T95" s="109"/>
      <c r="U95" s="109"/>
      <c r="V95" s="109"/>
      <c r="W95" s="109"/>
      <c r="X95" s="109" t="s">
        <v>150</v>
      </c>
      <c r="Y95" s="109"/>
      <c r="Z95" s="101">
        <f>VLOOKUP(D95,원가정보3!$E$5:$I$1048576,5,0)</f>
        <v>644.6</v>
      </c>
      <c r="AA95" s="101">
        <f t="shared" ref="AA95:AA104" si="5">Z95*O95</f>
        <v>0</v>
      </c>
    </row>
    <row r="96" spans="1:28">
      <c r="A96" s="109"/>
      <c r="B96" s="109"/>
      <c r="C96" s="109"/>
      <c r="D96" s="322" t="s">
        <v>524</v>
      </c>
      <c r="E96" s="109"/>
      <c r="F96" s="109"/>
      <c r="G96" s="109" t="s">
        <v>525</v>
      </c>
      <c r="H96" s="322" t="s">
        <v>526</v>
      </c>
      <c r="I96" s="109"/>
      <c r="J96" s="109"/>
      <c r="K96" s="109"/>
      <c r="L96" s="109"/>
      <c r="M96" s="109"/>
      <c r="N96" s="109"/>
      <c r="O96" s="109">
        <f>IF('사양 입력'!$K$12="Y",1,0)</f>
        <v>0</v>
      </c>
      <c r="P96" s="109"/>
      <c r="Q96" s="109"/>
      <c r="R96" s="109"/>
      <c r="S96" s="109"/>
      <c r="T96" s="109"/>
      <c r="U96" s="109"/>
      <c r="V96" s="109"/>
      <c r="W96" s="109"/>
      <c r="X96" s="109" t="s">
        <v>150</v>
      </c>
      <c r="Y96" s="109"/>
      <c r="Z96" s="101">
        <f>IFERROR((VLOOKUP(D96,원가정보3!$E$5:$I$1048576,5,0)),0)</f>
        <v>21228.9</v>
      </c>
      <c r="AA96" s="101">
        <f t="shared" si="5"/>
        <v>0</v>
      </c>
      <c r="AB96" s="3" t="s">
        <v>225</v>
      </c>
    </row>
    <row r="97" spans="1:27">
      <c r="A97" s="109"/>
      <c r="B97" s="109"/>
      <c r="C97" s="109"/>
      <c r="D97" s="111" t="s">
        <v>527</v>
      </c>
      <c r="E97" s="109"/>
      <c r="F97" s="109"/>
      <c r="G97" s="111" t="s">
        <v>528</v>
      </c>
      <c r="H97" s="109"/>
      <c r="I97" s="109"/>
      <c r="J97" s="109"/>
      <c r="K97" s="109"/>
      <c r="L97" s="109"/>
      <c r="M97" s="109"/>
      <c r="N97" s="109"/>
      <c r="O97" s="109">
        <f>IF('사양 입력'!$K$16="Y",1,0)</f>
        <v>0</v>
      </c>
      <c r="P97" s="109"/>
      <c r="Q97" s="109"/>
      <c r="R97" s="109"/>
      <c r="S97" s="109"/>
      <c r="T97" s="109"/>
      <c r="U97" s="109"/>
      <c r="V97" s="109"/>
      <c r="W97" s="109"/>
      <c r="X97" s="109" t="s">
        <v>224</v>
      </c>
      <c r="Y97" s="109"/>
      <c r="Z97" s="101">
        <f>VLOOKUP(D97,원가정보3!$E$5:$I$1048576,5,0)</f>
        <v>131300.40000000002</v>
      </c>
      <c r="AA97" s="101">
        <f t="shared" si="5"/>
        <v>0</v>
      </c>
    </row>
    <row r="98" spans="1:27">
      <c r="A98" s="109"/>
      <c r="B98" s="109"/>
      <c r="C98" s="109"/>
      <c r="D98" s="111" t="s">
        <v>529</v>
      </c>
      <c r="E98" s="109"/>
      <c r="F98" s="109"/>
      <c r="G98" s="111" t="s">
        <v>530</v>
      </c>
      <c r="H98" s="109"/>
      <c r="I98" s="109"/>
      <c r="J98" s="109"/>
      <c r="K98" s="109"/>
      <c r="L98" s="109"/>
      <c r="M98" s="109"/>
      <c r="N98" s="109"/>
      <c r="O98" s="109">
        <f>IF('사양 입력'!$K$16="Y",1,0)</f>
        <v>0</v>
      </c>
      <c r="P98" s="109"/>
      <c r="Q98" s="109"/>
      <c r="R98" s="109"/>
      <c r="S98" s="109"/>
      <c r="T98" s="109"/>
      <c r="U98" s="109"/>
      <c r="V98" s="109"/>
      <c r="W98" s="109"/>
      <c r="X98" s="109" t="s">
        <v>224</v>
      </c>
      <c r="Y98" s="109"/>
      <c r="Z98" s="101">
        <f>VLOOKUP(D98,원가정보3!$E$5:$I$1048576,5,0)</f>
        <v>43529.200000000004</v>
      </c>
      <c r="AA98" s="101">
        <f t="shared" si="5"/>
        <v>0</v>
      </c>
    </row>
    <row r="99" spans="1:27">
      <c r="A99" s="109"/>
      <c r="B99" s="109"/>
      <c r="C99" s="109"/>
      <c r="D99" s="111" t="s">
        <v>531</v>
      </c>
      <c r="E99" s="109"/>
      <c r="F99" s="109"/>
      <c r="G99" s="111" t="s">
        <v>532</v>
      </c>
      <c r="H99" s="111" t="s">
        <v>531</v>
      </c>
      <c r="I99" s="109"/>
      <c r="J99" s="109"/>
      <c r="K99" s="109"/>
      <c r="L99" s="109"/>
      <c r="M99" s="109"/>
      <c r="N99" s="109"/>
      <c r="O99" s="109">
        <f>IF('사양 입력'!$K$17="Y",1,0)</f>
        <v>0</v>
      </c>
      <c r="P99" s="109"/>
      <c r="Q99" s="109" t="s">
        <v>533</v>
      </c>
      <c r="R99" s="109"/>
      <c r="S99" s="109"/>
      <c r="T99" s="109"/>
      <c r="U99" s="109"/>
      <c r="V99" s="109"/>
      <c r="W99" s="109"/>
      <c r="X99" s="109" t="s">
        <v>224</v>
      </c>
      <c r="Y99" s="109"/>
      <c r="Z99" s="101">
        <f>VLOOKUP(D99,원가정보3!$E$5:$I$1048576,5,0)</f>
        <v>39420.700000000004</v>
      </c>
      <c r="AA99" s="101">
        <f t="shared" si="5"/>
        <v>0</v>
      </c>
    </row>
    <row r="100" spans="1:27">
      <c r="A100" s="109"/>
      <c r="B100" s="109"/>
      <c r="C100" s="109"/>
      <c r="D100" s="111" t="s">
        <v>534</v>
      </c>
      <c r="E100" s="109"/>
      <c r="F100" s="109"/>
      <c r="G100" s="111" t="s">
        <v>535</v>
      </c>
      <c r="H100" s="111" t="s">
        <v>534</v>
      </c>
      <c r="I100" s="109"/>
      <c r="J100" s="109"/>
      <c r="K100" s="109"/>
      <c r="L100" s="109"/>
      <c r="M100" s="109"/>
      <c r="N100" s="109"/>
      <c r="O100" s="109">
        <f>IF('사양 입력'!$K$17="Y",1,0)</f>
        <v>0</v>
      </c>
      <c r="P100" s="109"/>
      <c r="Q100" s="109" t="s">
        <v>533</v>
      </c>
      <c r="R100" s="109"/>
      <c r="S100" s="109"/>
      <c r="T100" s="109"/>
      <c r="U100" s="109"/>
      <c r="V100" s="109"/>
      <c r="W100" s="109"/>
      <c r="X100" s="109" t="s">
        <v>224</v>
      </c>
      <c r="Y100" s="109"/>
      <c r="Z100" s="101">
        <f>VLOOKUP(D100,원가정보3!$E$5:$I$1048576,5,0)</f>
        <v>0</v>
      </c>
      <c r="AA100" s="101">
        <f t="shared" si="5"/>
        <v>0</v>
      </c>
    </row>
    <row r="101" spans="1:27">
      <c r="A101" s="109"/>
      <c r="B101" s="109"/>
      <c r="C101" s="109"/>
      <c r="D101" s="111" t="s">
        <v>536</v>
      </c>
      <c r="E101" s="109"/>
      <c r="F101" s="109"/>
      <c r="G101" s="111" t="s">
        <v>537</v>
      </c>
      <c r="H101" s="111" t="s">
        <v>536</v>
      </c>
      <c r="I101" s="109"/>
      <c r="J101" s="109"/>
      <c r="K101" s="109"/>
      <c r="L101" s="109"/>
      <c r="M101" s="109"/>
      <c r="N101" s="109"/>
      <c r="O101" s="109" t="str">
        <f>IF('사양 입력'!$K$17="Y",(2000+'사양 입력'!C11+'사양 입력'!C12-2100+5000)/1000,"0")</f>
        <v>0</v>
      </c>
      <c r="P101" s="109"/>
      <c r="Q101" s="109" t="s">
        <v>533</v>
      </c>
      <c r="R101" s="109"/>
      <c r="S101" s="109"/>
      <c r="T101" s="109"/>
      <c r="U101" s="109"/>
      <c r="V101" s="109"/>
      <c r="W101" s="109"/>
      <c r="X101" s="109" t="s">
        <v>224</v>
      </c>
      <c r="Y101" s="109"/>
      <c r="Z101" s="101">
        <f>VLOOKUP(D101,원가정보3!$E$5:$I$1048576,5,0)</f>
        <v>1745.7</v>
      </c>
      <c r="AA101" s="101">
        <f t="shared" si="5"/>
        <v>0</v>
      </c>
    </row>
    <row r="102" spans="1:27">
      <c r="A102" s="109"/>
      <c r="B102" s="109"/>
      <c r="C102" s="109"/>
      <c r="D102" s="111" t="s">
        <v>538</v>
      </c>
      <c r="E102" s="109"/>
      <c r="F102" s="109"/>
      <c r="G102" s="111" t="s">
        <v>539</v>
      </c>
      <c r="H102" s="111" t="s">
        <v>538</v>
      </c>
      <c r="I102" s="109"/>
      <c r="J102" s="109"/>
      <c r="K102" s="109"/>
      <c r="L102" s="109"/>
      <c r="M102" s="109"/>
      <c r="N102" s="109"/>
      <c r="O102" s="109">
        <f>IF('사양 입력'!$K$17="Y",1,0)</f>
        <v>0</v>
      </c>
      <c r="P102" s="109"/>
      <c r="Q102" s="109" t="s">
        <v>533</v>
      </c>
      <c r="R102" s="109"/>
      <c r="S102" s="109"/>
      <c r="T102" s="109"/>
      <c r="U102" s="109"/>
      <c r="V102" s="109"/>
      <c r="W102" s="109"/>
      <c r="X102" s="109" t="s">
        <v>224</v>
      </c>
      <c r="Y102" s="109"/>
      <c r="Z102" s="101">
        <f>VLOOKUP(D102,원가정보3!$E$5:$I$1048576,5,0)</f>
        <v>3149.3</v>
      </c>
      <c r="AA102" s="101">
        <f t="shared" si="5"/>
        <v>0</v>
      </c>
    </row>
    <row r="103" spans="1:27">
      <c r="A103" s="109"/>
      <c r="B103" s="109"/>
      <c r="C103" s="109"/>
      <c r="D103" s="111" t="s">
        <v>540</v>
      </c>
      <c r="E103" s="109"/>
      <c r="F103" s="109"/>
      <c r="G103" s="109" t="s">
        <v>541</v>
      </c>
      <c r="H103" s="111" t="s">
        <v>540</v>
      </c>
      <c r="I103" s="109"/>
      <c r="J103" s="109"/>
      <c r="K103" s="109"/>
      <c r="L103" s="109"/>
      <c r="M103" s="109"/>
      <c r="N103" s="109"/>
      <c r="O103" s="109">
        <f>IF('사양 입력'!$K$17="Y",1,0)</f>
        <v>0</v>
      </c>
      <c r="P103" s="109"/>
      <c r="Q103" s="109" t="s">
        <v>541</v>
      </c>
      <c r="R103" s="109"/>
      <c r="S103" s="109"/>
      <c r="T103" s="109"/>
      <c r="U103" s="109"/>
      <c r="V103" s="109"/>
      <c r="W103" s="109"/>
      <c r="X103" s="109" t="s">
        <v>224</v>
      </c>
      <c r="Y103" s="109"/>
      <c r="Z103" s="101">
        <f>VLOOKUP(D103,원가정보3!$E$5:$I$1048576,5,0)</f>
        <v>24360</v>
      </c>
      <c r="AA103" s="101">
        <f t="shared" si="5"/>
        <v>0</v>
      </c>
    </row>
    <row r="104" spans="1:27">
      <c r="A104" s="109"/>
      <c r="B104" s="109"/>
      <c r="C104" s="109"/>
      <c r="D104" s="111" t="s">
        <v>542</v>
      </c>
      <c r="E104" s="109"/>
      <c r="F104" s="109"/>
      <c r="G104" s="109" t="s">
        <v>543</v>
      </c>
      <c r="H104" s="111" t="s">
        <v>542</v>
      </c>
      <c r="I104" s="109"/>
      <c r="J104" s="109"/>
      <c r="K104" s="109"/>
      <c r="L104" s="109"/>
      <c r="M104" s="109"/>
      <c r="N104" s="109"/>
      <c r="O104" s="109">
        <f>IF('사양 입력'!$K$17="Y",1,0)</f>
        <v>0</v>
      </c>
      <c r="P104" s="109"/>
      <c r="Q104" s="109" t="s">
        <v>543</v>
      </c>
      <c r="R104" s="109"/>
      <c r="S104" s="109"/>
      <c r="T104" s="109"/>
      <c r="U104" s="109"/>
      <c r="V104" s="109"/>
      <c r="W104" s="109"/>
      <c r="X104" s="109" t="s">
        <v>224</v>
      </c>
      <c r="Y104" s="109"/>
      <c r="Z104" s="101">
        <f>VLOOKUP(D104,원가정보3!$E$5:$I$1048576,5,0)</f>
        <v>93775</v>
      </c>
      <c r="AA104" s="101">
        <f t="shared" si="5"/>
        <v>0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O33:O34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EBB07-ABDD-4E01-9DC6-CA5EC43B85E6}">
  <sheetPr>
    <tabColor rgb="FF7030A0"/>
  </sheetPr>
  <dimension ref="A2:AK109"/>
  <sheetViews>
    <sheetView zoomScale="70" zoomScaleNormal="70" workbookViewId="0"/>
  </sheetViews>
  <sheetFormatPr defaultColWidth="8.8984375" defaultRowHeight="17.399999999999999" outlineLevelRow="1"/>
  <cols>
    <col min="1" max="1" width="3.5" bestFit="1" customWidth="1"/>
    <col min="2" max="2" width="5.09765625" bestFit="1" customWidth="1"/>
    <col min="3" max="3" width="5.59765625" bestFit="1" customWidth="1"/>
    <col min="4" max="4" width="19" customWidth="1"/>
    <col min="5" max="5" width="5.5" bestFit="1" customWidth="1"/>
    <col min="6" max="6" width="5.09765625" bestFit="1" customWidth="1"/>
    <col min="7" max="7" width="45.5" bestFit="1" customWidth="1"/>
    <col min="8" max="8" width="17.59765625" customWidth="1"/>
    <col min="9" max="9" width="5.09765625" bestFit="1" customWidth="1"/>
    <col min="12" max="12" width="10.5" bestFit="1" customWidth="1"/>
    <col min="13" max="14" width="5.09765625" bestFit="1" customWidth="1"/>
    <col min="15" max="15" width="6.5" bestFit="1" customWidth="1"/>
    <col min="17" max="17" width="54.3984375" customWidth="1"/>
    <col min="18" max="18" width="11.8984375" customWidth="1"/>
    <col min="20" max="20" width="52.59765625" bestFit="1" customWidth="1"/>
    <col min="21" max="21" width="31.09765625" bestFit="1" customWidth="1"/>
    <col min="24" max="24" width="11.59765625" bestFit="1" customWidth="1"/>
    <col min="25" max="25" width="19.09765625" bestFit="1" customWidth="1"/>
    <col min="26" max="26" width="21.09765625" bestFit="1" customWidth="1"/>
    <col min="28" max="28" width="11.59765625" bestFit="1" customWidth="1"/>
    <col min="29" max="29" width="11.8984375" style="40" bestFit="1" customWidth="1"/>
    <col min="30" max="30" width="14.19921875" customWidth="1"/>
    <col min="31" max="31" width="11" bestFit="1" customWidth="1"/>
    <col min="32" max="32" width="11.59765625" bestFit="1" customWidth="1"/>
  </cols>
  <sheetData>
    <row r="2" spans="1:32" ht="30">
      <c r="B2" s="348" t="s">
        <v>637</v>
      </c>
      <c r="C2" s="349"/>
    </row>
    <row r="3" spans="1:32">
      <c r="D3" s="2" t="s">
        <v>545</v>
      </c>
    </row>
    <row r="4" spans="1:32">
      <c r="D4" s="113"/>
    </row>
    <row r="5" spans="1:32" s="4" customFormat="1">
      <c r="A5" s="351" t="s">
        <v>88</v>
      </c>
      <c r="B5" s="351" t="s">
        <v>123</v>
      </c>
      <c r="C5" s="351" t="s">
        <v>124</v>
      </c>
      <c r="D5" s="351" t="s">
        <v>125</v>
      </c>
      <c r="E5" s="351" t="s">
        <v>126</v>
      </c>
      <c r="F5" s="351" t="s">
        <v>127</v>
      </c>
      <c r="G5" s="351" t="s">
        <v>128</v>
      </c>
      <c r="H5" s="351" t="s">
        <v>129</v>
      </c>
      <c r="I5" s="351" t="s">
        <v>130</v>
      </c>
      <c r="J5" s="351" t="s">
        <v>131</v>
      </c>
      <c r="K5" s="351" t="s">
        <v>132</v>
      </c>
      <c r="L5" s="351" t="s">
        <v>133</v>
      </c>
      <c r="M5" s="351" t="s">
        <v>134</v>
      </c>
      <c r="N5" s="351" t="s">
        <v>135</v>
      </c>
      <c r="O5" s="351" t="s">
        <v>136</v>
      </c>
      <c r="P5" s="351" t="s">
        <v>137</v>
      </c>
      <c r="Q5" s="351" t="s">
        <v>138</v>
      </c>
      <c r="R5" s="351" t="s">
        <v>139</v>
      </c>
      <c r="S5" s="351" t="s">
        <v>140</v>
      </c>
      <c r="T5" s="351" t="s">
        <v>141</v>
      </c>
      <c r="U5" s="351" t="s">
        <v>142</v>
      </c>
      <c r="V5" s="351" t="s">
        <v>143</v>
      </c>
      <c r="W5" s="351" t="s">
        <v>19</v>
      </c>
      <c r="X5" s="351" t="s">
        <v>144</v>
      </c>
      <c r="Y5" s="351" t="s">
        <v>546</v>
      </c>
      <c r="Z5" s="351" t="s">
        <v>547</v>
      </c>
      <c r="AA5" s="352" t="s">
        <v>145</v>
      </c>
      <c r="AB5" s="353" t="s">
        <v>638</v>
      </c>
      <c r="AC5" s="353" t="s">
        <v>639</v>
      </c>
      <c r="AD5" s="354" t="s">
        <v>640</v>
      </c>
      <c r="AE5" s="94"/>
    </row>
    <row r="6" spans="1:32" s="4" customFormat="1">
      <c r="A6" s="355"/>
      <c r="B6" s="355"/>
      <c r="C6" s="356">
        <v>1</v>
      </c>
      <c r="D6" s="455" t="str">
        <f>IF('사양 입력'!$G$4="GD",VLOOKUP('사양 입력'!$G$4&amp;'사양 입력'!$G$5&amp;'사양 입력'!$G$6&amp;'사양 입력'!$C$16&amp;'사양 입력'!$G$12,'CP ASSY'!$U$12:$V$260,2,FALSE),"ERROR")</f>
        <v>ERROR</v>
      </c>
      <c r="E6" s="355"/>
      <c r="F6" s="355"/>
      <c r="G6" s="357" t="s">
        <v>641</v>
      </c>
      <c r="H6" s="358" t="str">
        <f>LEFT(D6,11)</f>
        <v>ERROR</v>
      </c>
      <c r="I6" s="355"/>
      <c r="J6" s="355"/>
      <c r="K6" s="355"/>
      <c r="L6" s="355"/>
      <c r="M6" s="355"/>
      <c r="N6" s="355"/>
      <c r="O6" s="357" t="str">
        <f>IF(D6="ERROR","N/A",1)</f>
        <v>N/A</v>
      </c>
      <c r="P6" s="355"/>
      <c r="Q6" s="357" t="e">
        <f>VLOOKUP(D6,'[2]CP ASSY'!$D$12:$L$260,9,0)</f>
        <v>#N/A</v>
      </c>
      <c r="R6" s="355"/>
      <c r="S6" s="355"/>
      <c r="T6" s="355"/>
      <c r="U6" s="355"/>
      <c r="V6" s="355"/>
      <c r="W6" s="355"/>
      <c r="X6" s="355" t="s">
        <v>642</v>
      </c>
      <c r="Y6" s="355"/>
      <c r="Z6" s="355"/>
      <c r="AA6" s="359"/>
      <c r="AB6" s="360" t="e">
        <f>VLOOKUP(D6,원가정보3!E5:I736,5,0)</f>
        <v>#N/A</v>
      </c>
      <c r="AC6" s="360" t="e">
        <f>AB6*O6</f>
        <v>#N/A</v>
      </c>
      <c r="AD6" s="361">
        <f>SUMIF(AC6:AC118,"&lt;&gt;#n/a")</f>
        <v>3828060.1049999995</v>
      </c>
      <c r="AE6" s="120" t="s">
        <v>151</v>
      </c>
      <c r="AF6" s="112">
        <f>SUMIF(AC6:AC28,"&lt;&gt;#n/a")</f>
        <v>633256.9105</v>
      </c>
    </row>
    <row r="7" spans="1:32" s="88" customFormat="1">
      <c r="A7" s="355"/>
      <c r="B7" s="355"/>
      <c r="C7" s="356"/>
      <c r="D7" s="455" t="e">
        <f>VLOOKUP($D$6,'CP ASSY'!$V$12:$AA$260,6,FALSE)&amp;"00"</f>
        <v>#N/A</v>
      </c>
      <c r="E7" s="355"/>
      <c r="F7" s="355"/>
      <c r="G7" s="355" t="s">
        <v>643</v>
      </c>
      <c r="H7" s="358" t="e">
        <f t="shared" ref="H7:H16" si="0">LEFT(D7,11)</f>
        <v>#N/A</v>
      </c>
      <c r="I7" s="355"/>
      <c r="J7" s="355"/>
      <c r="K7" s="355"/>
      <c r="L7" s="355"/>
      <c r="M7" s="355"/>
      <c r="N7" s="355"/>
      <c r="O7" s="357" t="str">
        <f>IF('사양 입력'!G4="GD",1,"ERROR")</f>
        <v>ERROR</v>
      </c>
      <c r="P7" s="355"/>
      <c r="Q7" s="357"/>
      <c r="R7" s="355"/>
      <c r="S7" s="355"/>
      <c r="T7" s="355"/>
      <c r="U7" s="355"/>
      <c r="V7" s="355"/>
      <c r="W7" s="355"/>
      <c r="X7" s="355" t="s">
        <v>642</v>
      </c>
      <c r="Y7" s="355"/>
      <c r="Z7" s="355"/>
      <c r="AA7" s="359"/>
      <c r="AB7" s="360" t="e">
        <f>VLOOKUP(D7,원가정보3!E6:I737,5,0)</f>
        <v>#N/A</v>
      </c>
      <c r="AC7" s="360" t="e">
        <f>AB7*O7</f>
        <v>#N/A</v>
      </c>
      <c r="AD7" s="354"/>
      <c r="AE7" s="4" t="s">
        <v>153</v>
      </c>
      <c r="AF7" s="95">
        <f>AC67</f>
        <v>358061</v>
      </c>
    </row>
    <row r="8" spans="1:32" s="86" customFormat="1">
      <c r="A8" s="355"/>
      <c r="B8" s="355"/>
      <c r="C8" s="356"/>
      <c r="D8" s="356" t="s">
        <v>156</v>
      </c>
      <c r="E8" s="355"/>
      <c r="F8" s="355"/>
      <c r="G8" s="355" t="s">
        <v>157</v>
      </c>
      <c r="H8" s="355" t="s">
        <v>158</v>
      </c>
      <c r="I8" s="355"/>
      <c r="J8" s="355"/>
      <c r="K8" s="355"/>
      <c r="L8" s="355"/>
      <c r="M8" s="355"/>
      <c r="N8" s="355"/>
      <c r="O8" s="362">
        <v>1</v>
      </c>
      <c r="P8" s="355"/>
      <c r="Q8" s="357"/>
      <c r="R8" s="355"/>
      <c r="S8" s="355"/>
      <c r="T8" s="355"/>
      <c r="U8" s="355"/>
      <c r="V8" s="355"/>
      <c r="W8" s="355"/>
      <c r="X8" s="355" t="s">
        <v>642</v>
      </c>
      <c r="Y8" s="355"/>
      <c r="Z8" s="355"/>
      <c r="AA8" s="359"/>
      <c r="AB8" s="360">
        <f>VLOOKUP(D8,원가정보3!E7:I738,5,0)</f>
        <v>56393</v>
      </c>
      <c r="AC8" s="360">
        <f t="shared" ref="AC8:AC73" si="1">AB8*O8</f>
        <v>56393</v>
      </c>
      <c r="AD8" s="354"/>
      <c r="AE8" s="4" t="s">
        <v>155</v>
      </c>
      <c r="AF8" s="95">
        <f>SUM(AC76:AC89)</f>
        <v>517867</v>
      </c>
    </row>
    <row r="9" spans="1:32" s="86" customFormat="1">
      <c r="A9" s="355"/>
      <c r="B9" s="355"/>
      <c r="C9" s="356"/>
      <c r="D9" s="398" t="s">
        <v>644</v>
      </c>
      <c r="E9" s="363"/>
      <c r="F9" s="363"/>
      <c r="G9" s="363" t="s">
        <v>645</v>
      </c>
      <c r="H9" s="363" t="s">
        <v>646</v>
      </c>
      <c r="I9" s="363"/>
      <c r="J9" s="363"/>
      <c r="K9" s="363"/>
      <c r="L9" s="363"/>
      <c r="M9" s="363"/>
      <c r="N9" s="363"/>
      <c r="O9" s="364">
        <v>1</v>
      </c>
      <c r="P9" s="363"/>
      <c r="Q9" s="365"/>
      <c r="R9" s="363"/>
      <c r="S9" s="363"/>
      <c r="T9" s="363"/>
      <c r="U9" s="363"/>
      <c r="V9" s="363"/>
      <c r="W9" s="363"/>
      <c r="X9" s="363" t="s">
        <v>642</v>
      </c>
      <c r="Y9" s="363"/>
      <c r="Z9" s="363"/>
      <c r="AA9" s="366"/>
      <c r="AB9" s="367" t="e">
        <f>VLOOKUP(D9,원가정보3!E8:I739,5,0)</f>
        <v>#N/A</v>
      </c>
      <c r="AC9" s="367" t="e">
        <f t="shared" si="1"/>
        <v>#N/A</v>
      </c>
      <c r="AD9" s="354" t="s">
        <v>647</v>
      </c>
      <c r="AE9" s="4" t="s">
        <v>160</v>
      </c>
      <c r="AF9" s="94">
        <f>SUM(AC33:AC56)</f>
        <v>1561949.4000000001</v>
      </c>
    </row>
    <row r="10" spans="1:32" s="86" customFormat="1">
      <c r="A10" s="355"/>
      <c r="B10" s="355"/>
      <c r="C10" s="356"/>
      <c r="D10" s="398" t="str">
        <f>IF('사양 입력'!G14="EL TECH","20400641G0600",IF('사양 입력'!G14="SAFE TECH","20400641G0500",IF('사양 입력'!G14="MAJOR TECH","20400641G0800",IF('사양 입력'!G14="ROPE GRIPPER","20400641G0400"))))</f>
        <v>20400641G0600</v>
      </c>
      <c r="E10" s="363"/>
      <c r="F10" s="363"/>
      <c r="G10" s="363" t="s">
        <v>648</v>
      </c>
      <c r="H10" s="363" t="str">
        <f t="shared" si="0"/>
        <v>20400641G06</v>
      </c>
      <c r="I10" s="363"/>
      <c r="J10" s="363"/>
      <c r="K10" s="363"/>
      <c r="L10" s="363"/>
      <c r="M10" s="363"/>
      <c r="N10" s="363"/>
      <c r="O10" s="364">
        <v>1</v>
      </c>
      <c r="P10" s="363"/>
      <c r="Q10" s="365"/>
      <c r="R10" s="363"/>
      <c r="S10" s="363"/>
      <c r="T10" s="363"/>
      <c r="U10" s="363"/>
      <c r="V10" s="363"/>
      <c r="W10" s="363"/>
      <c r="X10" s="363"/>
      <c r="Y10" s="363"/>
      <c r="Z10" s="363"/>
      <c r="AA10" s="366"/>
      <c r="AB10" s="367">
        <f>VLOOKUP(D10,원가정보3!E9:I740,5,0)</f>
        <v>48790</v>
      </c>
      <c r="AC10" s="367">
        <f t="shared" si="1"/>
        <v>48790</v>
      </c>
      <c r="AD10" s="354" t="s">
        <v>649</v>
      </c>
      <c r="AE10" s="4" t="s">
        <v>165</v>
      </c>
      <c r="AF10" s="95">
        <f>SUM(AC30:AC32)+SUM(AC57:AC66)+SUM(AC68:AC75)</f>
        <v>657185.5</v>
      </c>
    </row>
    <row r="11" spans="1:32" s="86" customFormat="1">
      <c r="A11" s="355"/>
      <c r="B11" s="355"/>
      <c r="C11" s="356"/>
      <c r="D11" s="356" t="s">
        <v>161</v>
      </c>
      <c r="E11" s="355"/>
      <c r="F11" s="355"/>
      <c r="G11" s="355" t="s">
        <v>162</v>
      </c>
      <c r="H11" s="355" t="s">
        <v>163</v>
      </c>
      <c r="I11" s="355"/>
      <c r="J11" s="355"/>
      <c r="K11" s="355"/>
      <c r="L11" s="355"/>
      <c r="M11" s="355"/>
      <c r="N11" s="355"/>
      <c r="O11" s="362">
        <v>1</v>
      </c>
      <c r="P11" s="355"/>
      <c r="Q11" s="357"/>
      <c r="R11" s="355"/>
      <c r="S11" s="355"/>
      <c r="T11" s="355"/>
      <c r="U11" s="355"/>
      <c r="V11" s="355"/>
      <c r="W11" s="355"/>
      <c r="X11" s="355" t="s">
        <v>642</v>
      </c>
      <c r="Y11" s="355"/>
      <c r="Z11" s="355"/>
      <c r="AA11" s="359"/>
      <c r="AB11" s="360">
        <f>VLOOKUP(D11,원가정보3!E10:I741,5,0)</f>
        <v>30754</v>
      </c>
      <c r="AC11" s="360">
        <f t="shared" si="1"/>
        <v>30754</v>
      </c>
      <c r="AD11" s="354"/>
      <c r="AE11" s="4" t="s">
        <v>170</v>
      </c>
      <c r="AF11" s="95">
        <f>AC29</f>
        <v>99740.294500000004</v>
      </c>
    </row>
    <row r="12" spans="1:32" s="86" customFormat="1">
      <c r="A12" s="355"/>
      <c r="B12" s="355"/>
      <c r="C12" s="356"/>
      <c r="D12" s="356" t="s">
        <v>650</v>
      </c>
      <c r="E12" s="355"/>
      <c r="F12" s="355"/>
      <c r="G12" s="355" t="s">
        <v>651</v>
      </c>
      <c r="H12" s="355" t="s">
        <v>168</v>
      </c>
      <c r="I12" s="355"/>
      <c r="J12" s="355"/>
      <c r="K12" s="355"/>
      <c r="L12" s="355"/>
      <c r="M12" s="355"/>
      <c r="N12" s="355"/>
      <c r="O12" s="362">
        <v>1</v>
      </c>
      <c r="P12" s="355"/>
      <c r="Q12" s="357"/>
      <c r="R12" s="355"/>
      <c r="S12" s="355"/>
      <c r="T12" s="355"/>
      <c r="U12" s="355"/>
      <c r="V12" s="355"/>
      <c r="W12" s="355"/>
      <c r="X12" s="355" t="s">
        <v>642</v>
      </c>
      <c r="Y12" s="355"/>
      <c r="Z12" s="355"/>
      <c r="AA12" s="359"/>
      <c r="AB12" s="360">
        <f>VLOOKUP(D12,원가정보3!E11:I742,5,0)</f>
        <v>98455</v>
      </c>
      <c r="AC12" s="360">
        <f t="shared" si="1"/>
        <v>98455</v>
      </c>
      <c r="AD12" s="354"/>
      <c r="AE12" s="4" t="s">
        <v>90</v>
      </c>
      <c r="AF12" s="95">
        <f>SUM(AC104:AC109)</f>
        <v>0</v>
      </c>
    </row>
    <row r="13" spans="1:32" s="4" customFormat="1">
      <c r="A13" s="355"/>
      <c r="B13" s="355"/>
      <c r="C13" s="356"/>
      <c r="D13" s="462" t="s">
        <v>652</v>
      </c>
      <c r="E13" s="355"/>
      <c r="F13" s="355"/>
      <c r="G13" s="355" t="s">
        <v>653</v>
      </c>
      <c r="H13" s="358"/>
      <c r="I13" s="355"/>
      <c r="J13" s="355"/>
      <c r="K13" s="355"/>
      <c r="L13" s="355" t="s">
        <v>173</v>
      </c>
      <c r="M13" s="355"/>
      <c r="N13" s="355"/>
      <c r="O13" s="357">
        <f>IF('사양 입력'!$G$10="2 CAR",1,0)</f>
        <v>0</v>
      </c>
      <c r="P13" s="355"/>
      <c r="Q13" s="362" t="s">
        <v>654</v>
      </c>
      <c r="R13" s="355"/>
      <c r="S13" s="355"/>
      <c r="T13" s="355"/>
      <c r="U13" s="355"/>
      <c r="V13" s="355"/>
      <c r="W13" s="355"/>
      <c r="X13" s="355" t="s">
        <v>642</v>
      </c>
      <c r="Y13" s="355"/>
      <c r="Z13" s="355"/>
      <c r="AA13" s="359"/>
      <c r="AB13" s="360">
        <f>VLOOKUP(D13,원가정보3!E12:I743,5,0)</f>
        <v>18270</v>
      </c>
      <c r="AC13" s="360">
        <f>AB13*O13</f>
        <v>0</v>
      </c>
      <c r="AD13" s="354"/>
    </row>
    <row r="14" spans="1:32" s="4" customFormat="1">
      <c r="A14" s="355"/>
      <c r="B14" s="355"/>
      <c r="C14" s="355">
        <v>2</v>
      </c>
      <c r="D14" s="459" t="str">
        <f>IF($S$14=20,"HX062002H0900",IF($S$14=30,"HX062002H1000",IF($S$14=40,"HX062002H1100",IF($S$14=50,"HX062002H1200",IF($S$14=60,"HX062002H1300",IF($S$14=75,"HX062002H1400",FALSE))))))</f>
        <v>HX062002H1000</v>
      </c>
      <c r="E14" s="355"/>
      <c r="F14" s="355"/>
      <c r="G14" s="355" t="s">
        <v>655</v>
      </c>
      <c r="H14" s="358" t="str">
        <f t="shared" si="0"/>
        <v>HX062002H10</v>
      </c>
      <c r="I14" s="355"/>
      <c r="J14" s="355"/>
      <c r="K14" s="355"/>
      <c r="L14" s="355"/>
      <c r="M14" s="355"/>
      <c r="N14" s="355"/>
      <c r="O14" s="362">
        <v>1</v>
      </c>
      <c r="P14" s="355"/>
      <c r="Q14" s="357"/>
      <c r="R14" s="355" t="s">
        <v>656</v>
      </c>
      <c r="S14" s="355">
        <f>'DROP DOWN 지정'!$AG$11</f>
        <v>30</v>
      </c>
      <c r="T14" s="355"/>
      <c r="U14" s="355"/>
      <c r="V14" s="355"/>
      <c r="W14" s="355"/>
      <c r="X14" s="355" t="s">
        <v>642</v>
      </c>
      <c r="Y14" s="355"/>
      <c r="Z14" s="355"/>
      <c r="AA14" s="359"/>
      <c r="AB14" s="360">
        <f>VLOOKUP(D14,원가정보3!E13:I744,5,0)</f>
        <v>34510</v>
      </c>
      <c r="AC14" s="360">
        <f t="shared" si="1"/>
        <v>34510</v>
      </c>
      <c r="AD14" s="354"/>
    </row>
    <row r="15" spans="1:32" s="4" customFormat="1">
      <c r="A15" s="355"/>
      <c r="B15" s="355"/>
      <c r="C15" s="355">
        <v>2</v>
      </c>
      <c r="D15" s="455" t="str">
        <f>IF('사양 입력'!$C$5&lt;=11.3,"20410089G0600",IF(AND('사양 입력'!$C$5&gt;11.3,'사양 입력'!$C$5&lt;13),"20410089G0700",IF(AND('사양 입력'!$C$5&gt;=13.1,'사양 입력'!$C$5&lt;=14.1),"20410089G1000",IF(AND('사양 입력'!$C$5&gt;=14.2,'사양 입력'!$C$5&lt;=21),"20410089G0100",IF(AND('사양 입력'!$C$5&gt;=21.1,'사양 입력'!$C$5&lt;=26.5),"20410089G0800",IF(AND('사양 입력'!$C$5&gt;=26.6,'사양 입력'!$C$5&lt;=33),"20410089G0400","용량오류"))))))</f>
        <v>20410089G0600</v>
      </c>
      <c r="E15" s="355"/>
      <c r="F15" s="355"/>
      <c r="G15" s="355" t="s">
        <v>657</v>
      </c>
      <c r="H15" s="358" t="str">
        <f t="shared" si="0"/>
        <v>20410089G06</v>
      </c>
      <c r="I15" s="355"/>
      <c r="J15" s="355"/>
      <c r="K15" s="355"/>
      <c r="L15" s="355"/>
      <c r="M15" s="355"/>
      <c r="N15" s="355"/>
      <c r="O15" s="362">
        <v>2</v>
      </c>
      <c r="P15" s="355"/>
      <c r="Q15" s="357"/>
      <c r="R15" s="355"/>
      <c r="S15" s="355"/>
      <c r="T15" s="355"/>
      <c r="U15" s="355"/>
      <c r="V15" s="355"/>
      <c r="W15" s="355"/>
      <c r="X15" s="355" t="s">
        <v>642</v>
      </c>
      <c r="Y15" s="355"/>
      <c r="Z15" s="355"/>
      <c r="AA15" s="359"/>
      <c r="AB15" s="360">
        <f>VLOOKUP(D15,원가정보3!E14:I745,5,0)</f>
        <v>7612</v>
      </c>
      <c r="AC15" s="360">
        <f t="shared" si="1"/>
        <v>15224</v>
      </c>
      <c r="AD15" s="354"/>
    </row>
    <row r="16" spans="1:32" s="4" customFormat="1">
      <c r="A16" s="355"/>
      <c r="B16" s="355"/>
      <c r="C16" s="355">
        <v>2</v>
      </c>
      <c r="D16" s="455" t="str">
        <f>IF(AND('사양 입력'!$G$9="NO",'사양 입력'!$G$13="AC 220V"),"20401315G0200",IF(AND('사양 입력'!$G$9="NO",'사양 입력'!$G$13="AC 110V"),"20401315G1400",IF(AND('사양 입력'!$G$9="YES",'사양 입력'!$G$13="AC 220V"),"20401315G0300",IF(AND('사양 입력'!$G$9="YES",'사양 입력'!$G$13="AC 110V"),"20401315G1500",FALSE))))</f>
        <v>20401315G0200</v>
      </c>
      <c r="E16" s="355"/>
      <c r="F16" s="355"/>
      <c r="G16" s="355" t="s">
        <v>658</v>
      </c>
      <c r="H16" s="358" t="str">
        <f t="shared" si="0"/>
        <v>20401315G02</v>
      </c>
      <c r="I16" s="355"/>
      <c r="J16" s="355"/>
      <c r="K16" s="355"/>
      <c r="L16" s="355"/>
      <c r="M16" s="355"/>
      <c r="N16" s="355"/>
      <c r="O16" s="362">
        <v>1</v>
      </c>
      <c r="P16" s="355"/>
      <c r="Q16" s="357"/>
      <c r="R16" s="355"/>
      <c r="S16" s="355"/>
      <c r="T16" s="355"/>
      <c r="U16" s="355"/>
      <c r="V16" s="355"/>
      <c r="W16" s="355"/>
      <c r="X16" s="355" t="s">
        <v>642</v>
      </c>
      <c r="Y16" s="355"/>
      <c r="Z16" s="355"/>
      <c r="AA16" s="359"/>
      <c r="AB16" s="360">
        <f>VLOOKUP(D16,원가정보3!E15:I746,5,0)</f>
        <v>90098</v>
      </c>
      <c r="AC16" s="360">
        <f t="shared" si="1"/>
        <v>90098</v>
      </c>
      <c r="AD16" s="354"/>
    </row>
    <row r="17" spans="1:37" s="4" customFormat="1">
      <c r="A17" s="355"/>
      <c r="B17" s="355"/>
      <c r="C17" s="355">
        <v>2</v>
      </c>
      <c r="D17" s="462" t="s">
        <v>659</v>
      </c>
      <c r="E17" s="355"/>
      <c r="F17" s="355"/>
      <c r="G17" s="355" t="s">
        <v>660</v>
      </c>
      <c r="H17" s="362" t="s">
        <v>661</v>
      </c>
      <c r="I17" s="355"/>
      <c r="J17" s="355"/>
      <c r="K17" s="355"/>
      <c r="L17" s="355"/>
      <c r="M17" s="355"/>
      <c r="N17" s="355"/>
      <c r="O17" s="362">
        <v>1</v>
      </c>
      <c r="P17" s="355"/>
      <c r="Q17" s="357"/>
      <c r="R17" s="355"/>
      <c r="S17" s="355"/>
      <c r="T17" s="355"/>
      <c r="U17" s="355"/>
      <c r="V17" s="355"/>
      <c r="W17" s="355"/>
      <c r="X17" s="355" t="s">
        <v>642</v>
      </c>
      <c r="Y17" s="355"/>
      <c r="Z17" s="355"/>
      <c r="AA17" s="359"/>
      <c r="AB17" s="360">
        <f>VLOOKUP(D17,원가정보3!E16:I747,5,0)</f>
        <v>339.41599999999994</v>
      </c>
      <c r="AC17" s="360">
        <f t="shared" si="1"/>
        <v>339.41599999999994</v>
      </c>
      <c r="AD17" s="354"/>
    </row>
    <row r="18" spans="1:37" s="4" customFormat="1">
      <c r="A18" s="355"/>
      <c r="B18" s="355"/>
      <c r="C18" s="355">
        <v>2</v>
      </c>
      <c r="D18" s="456" t="s">
        <v>662</v>
      </c>
      <c r="E18" s="369"/>
      <c r="F18" s="369"/>
      <c r="G18" s="369" t="s">
        <v>663</v>
      </c>
      <c r="H18" s="368" t="s">
        <v>664</v>
      </c>
      <c r="I18" s="369"/>
      <c r="J18" s="369"/>
      <c r="K18" s="369"/>
      <c r="L18" s="369"/>
      <c r="M18" s="369"/>
      <c r="N18" s="369"/>
      <c r="O18" s="368">
        <v>0</v>
      </c>
      <c r="P18" s="355"/>
      <c r="Q18" s="357"/>
      <c r="R18" s="355"/>
      <c r="S18" s="355"/>
      <c r="T18" s="355"/>
      <c r="U18" s="355"/>
      <c r="V18" s="355"/>
      <c r="W18" s="355"/>
      <c r="X18" s="355" t="s">
        <v>642</v>
      </c>
      <c r="Y18" s="355"/>
      <c r="Z18" s="355"/>
      <c r="AA18" s="359"/>
      <c r="AB18" s="360">
        <f>VLOOKUP(D18,원가정보3!E17:I748,5,0)</f>
        <v>13195</v>
      </c>
      <c r="AC18" s="360">
        <f t="shared" si="1"/>
        <v>0</v>
      </c>
      <c r="AD18" s="354"/>
    </row>
    <row r="19" spans="1:37" s="4" customFormat="1" outlineLevel="1">
      <c r="A19" s="355"/>
      <c r="B19" s="355"/>
      <c r="C19" s="356"/>
      <c r="D19" s="356" t="s">
        <v>665</v>
      </c>
      <c r="E19" s="355"/>
      <c r="F19" s="355"/>
      <c r="G19" s="355" t="s">
        <v>190</v>
      </c>
      <c r="H19" s="355" t="s">
        <v>191</v>
      </c>
      <c r="I19" s="355" t="s">
        <v>192</v>
      </c>
      <c r="J19" s="355" t="s">
        <v>193</v>
      </c>
      <c r="K19" s="355" t="s">
        <v>194</v>
      </c>
      <c r="L19" s="355" t="s">
        <v>173</v>
      </c>
      <c r="M19" s="355"/>
      <c r="N19" s="355">
        <v>1</v>
      </c>
      <c r="O19" s="370">
        <v>1</v>
      </c>
      <c r="P19" s="371"/>
      <c r="Q19" s="372"/>
      <c r="R19" s="372"/>
      <c r="S19" s="371"/>
      <c r="T19" s="355" t="s">
        <v>195</v>
      </c>
      <c r="U19" s="355" t="s">
        <v>196</v>
      </c>
      <c r="V19" s="355"/>
      <c r="W19" s="355" t="s">
        <v>197</v>
      </c>
      <c r="X19" s="355" t="s">
        <v>642</v>
      </c>
      <c r="Y19" s="373">
        <v>45002.589409722219</v>
      </c>
      <c r="Z19" s="373">
        <v>45002.589409722219</v>
      </c>
      <c r="AA19" s="359"/>
      <c r="AB19" s="360">
        <f>VLOOKUP(D19,원가정보3!E18:I749,5,0)</f>
        <v>12768</v>
      </c>
      <c r="AC19" s="360">
        <f t="shared" si="1"/>
        <v>12768</v>
      </c>
      <c r="AD19" s="354"/>
    </row>
    <row r="20" spans="1:37" s="4" customFormat="1" ht="18" customHeight="1" outlineLevel="1">
      <c r="A20" s="355"/>
      <c r="B20" s="355"/>
      <c r="C20" s="356"/>
      <c r="D20" s="356" t="s">
        <v>550</v>
      </c>
      <c r="E20" s="355">
        <v>680</v>
      </c>
      <c r="F20" s="355" t="s">
        <v>189</v>
      </c>
      <c r="G20" s="355" t="s">
        <v>199</v>
      </c>
      <c r="H20" s="355" t="s">
        <v>551</v>
      </c>
      <c r="I20" s="355" t="s">
        <v>192</v>
      </c>
      <c r="J20" s="355" t="s">
        <v>193</v>
      </c>
      <c r="K20" s="355" t="s">
        <v>201</v>
      </c>
      <c r="L20" s="355" t="s">
        <v>202</v>
      </c>
      <c r="M20" s="355"/>
      <c r="N20" s="355"/>
      <c r="O20" s="374">
        <f>IF('DROP DOWN 지정'!$X$35&gt;3000,1,0)</f>
        <v>0</v>
      </c>
      <c r="P20" s="371"/>
      <c r="Q20" s="372" t="s">
        <v>203</v>
      </c>
      <c r="R20" s="372"/>
      <c r="S20" s="371"/>
      <c r="T20" s="355" t="s">
        <v>204</v>
      </c>
      <c r="U20" s="355" t="s">
        <v>205</v>
      </c>
      <c r="V20" s="355"/>
      <c r="W20" s="355" t="s">
        <v>197</v>
      </c>
      <c r="X20" s="355" t="s">
        <v>642</v>
      </c>
      <c r="Y20" s="373"/>
      <c r="Z20" s="373"/>
      <c r="AA20" s="359"/>
      <c r="AB20" s="360">
        <f>VLOOKUP(D20,원가정보3!E19:I750,5,0)</f>
        <v>79170</v>
      </c>
      <c r="AC20" s="360">
        <f t="shared" si="1"/>
        <v>0</v>
      </c>
      <c r="AD20" s="354"/>
    </row>
    <row r="21" spans="1:37" s="4" customFormat="1" ht="18" customHeight="1" outlineLevel="1">
      <c r="A21" s="355"/>
      <c r="B21" s="355"/>
      <c r="C21" s="356"/>
      <c r="D21" s="356" t="s">
        <v>206</v>
      </c>
      <c r="E21" s="355">
        <v>600</v>
      </c>
      <c r="F21" s="355" t="s">
        <v>189</v>
      </c>
      <c r="G21" s="355" t="s">
        <v>207</v>
      </c>
      <c r="H21" s="355" t="s">
        <v>208</v>
      </c>
      <c r="I21" s="355" t="s">
        <v>192</v>
      </c>
      <c r="J21" s="355" t="s">
        <v>193</v>
      </c>
      <c r="K21" s="355" t="s">
        <v>209</v>
      </c>
      <c r="L21" s="355" t="s">
        <v>202</v>
      </c>
      <c r="M21" s="355"/>
      <c r="N21" s="355"/>
      <c r="O21" s="374">
        <f>IF('사양 입력'!$C$14&gt;31000,1,0)</f>
        <v>1</v>
      </c>
      <c r="P21" s="371"/>
      <c r="Q21" s="372" t="s">
        <v>203</v>
      </c>
      <c r="R21" s="372"/>
      <c r="S21" s="371"/>
      <c r="T21" s="355" t="s">
        <v>210</v>
      </c>
      <c r="U21" s="355"/>
      <c r="V21" s="355"/>
      <c r="W21" s="355"/>
      <c r="X21" s="355" t="s">
        <v>642</v>
      </c>
      <c r="Y21" s="373"/>
      <c r="Z21" s="373"/>
      <c r="AA21" s="359"/>
      <c r="AB21" s="360">
        <f>VLOOKUP(D21,원가정보3!E20:I751,5,0)</f>
        <v>20300</v>
      </c>
      <c r="AC21" s="360">
        <f t="shared" si="1"/>
        <v>20300</v>
      </c>
      <c r="AD21" s="354"/>
    </row>
    <row r="22" spans="1:37" s="4" customFormat="1" ht="18" customHeight="1" outlineLevel="1">
      <c r="A22" s="355"/>
      <c r="B22" s="355"/>
      <c r="C22" s="356"/>
      <c r="D22" s="356" t="s">
        <v>213</v>
      </c>
      <c r="E22" s="355">
        <v>1390</v>
      </c>
      <c r="F22" s="355" t="s">
        <v>189</v>
      </c>
      <c r="G22" s="355" t="s">
        <v>214</v>
      </c>
      <c r="H22" s="355" t="s">
        <v>215</v>
      </c>
      <c r="I22" s="355" t="s">
        <v>192</v>
      </c>
      <c r="J22" s="355" t="s">
        <v>193</v>
      </c>
      <c r="K22" s="355" t="s">
        <v>216</v>
      </c>
      <c r="L22" s="355" t="s">
        <v>202</v>
      </c>
      <c r="M22" s="355"/>
      <c r="N22" s="355"/>
      <c r="O22" s="374">
        <f>O21</f>
        <v>1</v>
      </c>
      <c r="P22" s="371"/>
      <c r="Q22" s="372"/>
      <c r="R22" s="372"/>
      <c r="S22" s="371"/>
      <c r="T22" s="355" t="s">
        <v>666</v>
      </c>
      <c r="U22" s="355"/>
      <c r="V22" s="355"/>
      <c r="W22" s="355"/>
      <c r="X22" s="355" t="s">
        <v>642</v>
      </c>
      <c r="Y22" s="373"/>
      <c r="Z22" s="373"/>
      <c r="AA22" s="359"/>
      <c r="AB22" s="360">
        <f>VLOOKUP(D22,원가정보3!E21:I752,5,0)</f>
        <v>6830</v>
      </c>
      <c r="AC22" s="360">
        <f>AB22*O22</f>
        <v>6830</v>
      </c>
      <c r="AD22" s="354"/>
    </row>
    <row r="23" spans="1:37" s="86" customFormat="1" ht="18" customHeight="1" outlineLevel="1">
      <c r="A23" s="355"/>
      <c r="B23" s="355"/>
      <c r="C23" s="356"/>
      <c r="D23" s="457" t="s">
        <v>667</v>
      </c>
      <c r="E23" s="355"/>
      <c r="F23" s="355"/>
      <c r="G23" s="375" t="s">
        <v>668</v>
      </c>
      <c r="H23" s="355"/>
      <c r="I23" s="355"/>
      <c r="J23" s="355"/>
      <c r="K23" s="355"/>
      <c r="L23" s="355"/>
      <c r="M23" s="355"/>
      <c r="N23" s="355"/>
      <c r="O23" s="376">
        <v>1</v>
      </c>
      <c r="P23" s="371"/>
      <c r="Q23" s="372"/>
      <c r="R23" s="372"/>
      <c r="S23" s="371"/>
      <c r="T23" s="355"/>
      <c r="U23" s="355"/>
      <c r="V23" s="355"/>
      <c r="W23" s="355"/>
      <c r="X23" s="355"/>
      <c r="Y23" s="355"/>
      <c r="Z23" s="360"/>
      <c r="AA23" s="360"/>
      <c r="AB23" s="469">
        <f>VLOOKUP(D23,원가정보3!E22:I753,5,0)</f>
        <v>12078</v>
      </c>
      <c r="AC23" s="360">
        <f>AB23*O23</f>
        <v>12078</v>
      </c>
      <c r="AD23" s="378" t="s">
        <v>669</v>
      </c>
    </row>
    <row r="24" spans="1:37" s="86" customFormat="1" ht="18" customHeight="1" outlineLevel="1">
      <c r="A24" s="355"/>
      <c r="B24" s="355"/>
      <c r="C24" s="356"/>
      <c r="D24" s="356" t="str">
        <f>REPLACE($D$25,9,1,"P")</f>
        <v>ERROR00P</v>
      </c>
      <c r="E24" s="355"/>
      <c r="F24" s="355"/>
      <c r="G24" s="357" t="s">
        <v>670</v>
      </c>
      <c r="H24" s="355"/>
      <c r="I24" s="355"/>
      <c r="J24" s="355"/>
      <c r="K24" s="355"/>
      <c r="L24" s="355"/>
      <c r="M24" s="355"/>
      <c r="N24" s="355"/>
      <c r="O24" s="376">
        <v>1</v>
      </c>
      <c r="P24" s="371"/>
      <c r="Q24" s="372"/>
      <c r="R24" s="372"/>
      <c r="S24" s="371"/>
      <c r="T24" s="355"/>
      <c r="U24" s="355"/>
      <c r="V24" s="355"/>
      <c r="W24" s="355"/>
      <c r="X24" s="355" t="s">
        <v>642</v>
      </c>
      <c r="Y24" s="373"/>
      <c r="Z24" s="373"/>
      <c r="AA24" s="359"/>
      <c r="AB24" s="360" t="e">
        <f>VLOOKUP(D24,원가정보3!E23:I754,5,0)</f>
        <v>#N/A</v>
      </c>
      <c r="AC24" s="360" t="e">
        <f t="shared" si="1"/>
        <v>#N/A</v>
      </c>
      <c r="AD24" s="377"/>
    </row>
    <row r="25" spans="1:37" s="86" customFormat="1" ht="18" customHeight="1" outlineLevel="1">
      <c r="A25" s="355"/>
      <c r="B25" s="355"/>
      <c r="C25" s="356"/>
      <c r="D25" s="356" t="str">
        <f>H25&amp;"00"</f>
        <v>ERROR00</v>
      </c>
      <c r="E25" s="355"/>
      <c r="F25" s="355"/>
      <c r="G25" s="355" t="s">
        <v>671</v>
      </c>
      <c r="H25" s="355" t="str">
        <f>IF('사양 입력'!$G$4="GD",VLOOKUP('사양 입력'!$G$4&amp;'사양 입력'!$G$5&amp;'사양 입력'!$G$6&amp;'사양 입력'!$C$16&amp;'사양 입력'!$G$12,'CP ASSY'!$U$12:$Z$260,4,FALSE),"ERROR")</f>
        <v>ERROR</v>
      </c>
      <c r="I25" s="355"/>
      <c r="J25" s="355"/>
      <c r="K25" s="355"/>
      <c r="L25" s="355"/>
      <c r="M25" s="355"/>
      <c r="N25" s="355"/>
      <c r="O25" s="376">
        <v>1</v>
      </c>
      <c r="P25" s="371"/>
      <c r="Q25" s="372" t="str">
        <f>IF('사양 입력'!$G$4="GD",VLOOKUP('사양 입력'!$G$4&amp;'사양 입력'!$G$5&amp;'사양 입력'!$G$6&amp;'사양 입력'!$C$16&amp;'사양 입력'!$G$12,'CP ASSY'!$U$12:$Z$260,4,FALSE),"ERROR")</f>
        <v>ERROR</v>
      </c>
      <c r="R25" s="372"/>
      <c r="S25" s="371"/>
      <c r="T25" s="355"/>
      <c r="U25" s="355"/>
      <c r="V25" s="355"/>
      <c r="W25" s="355"/>
      <c r="X25" s="355" t="s">
        <v>642</v>
      </c>
      <c r="Y25" s="373"/>
      <c r="Z25" s="373"/>
      <c r="AA25" s="359"/>
      <c r="AB25" s="360" t="e">
        <f>VLOOKUP(D25,원가정보3!E24:I755,5,0)</f>
        <v>#N/A</v>
      </c>
      <c r="AC25" s="360" t="e">
        <f t="shared" si="1"/>
        <v>#N/A</v>
      </c>
      <c r="AD25" s="377"/>
    </row>
    <row r="26" spans="1:37" s="86" customFormat="1" ht="18" customHeight="1" outlineLevel="1">
      <c r="A26" s="355"/>
      <c r="B26" s="355"/>
      <c r="C26" s="356"/>
      <c r="D26" s="356" t="str">
        <f>H29&amp;"00"</f>
        <v>24110040G0300</v>
      </c>
      <c r="E26" s="355"/>
      <c r="F26" s="355"/>
      <c r="G26" s="355" t="s">
        <v>672</v>
      </c>
      <c r="H26" s="355" t="str">
        <f>LEFT(D26,11)</f>
        <v>24110040G03</v>
      </c>
      <c r="I26" s="355"/>
      <c r="J26" s="355"/>
      <c r="K26" s="355"/>
      <c r="L26" s="355"/>
      <c r="M26" s="355"/>
      <c r="N26" s="355"/>
      <c r="O26" s="374">
        <f>IF('사양 입력'!$G$6="일반형",1,2)</f>
        <v>1</v>
      </c>
      <c r="P26" s="371"/>
      <c r="Q26" s="372"/>
      <c r="R26" s="372"/>
      <c r="S26" s="371"/>
      <c r="T26" s="355"/>
      <c r="U26" s="355"/>
      <c r="V26" s="355"/>
      <c r="W26" s="355"/>
      <c r="X26" s="355" t="s">
        <v>642</v>
      </c>
      <c r="Y26" s="373"/>
      <c r="Z26" s="373"/>
      <c r="AA26" s="359"/>
      <c r="AB26" s="360">
        <f>VLOOKUP(D26,원가정보3!E25:I756,5,0)</f>
        <v>99740.294500000004</v>
      </c>
      <c r="AC26" s="468">
        <f>AB26*O26</f>
        <v>99740.294500000004</v>
      </c>
      <c r="AD26" s="377"/>
      <c r="AK26" s="355" t="str">
        <f>IF('사양 입력'!$G$4="GD",VLOOKUP('사양 입력'!$G$4&amp;'사양 입력'!$G$5&amp;'사양 입력'!$G$6&amp;'사양 입력'!$C$16&amp;'사양 입력'!$G$12,'CP ASSY'!$U$12:$Z$260,6,FALSE),"ERROR")</f>
        <v>ERROR</v>
      </c>
    </row>
    <row r="27" spans="1:37" s="86" customFormat="1" ht="18" customHeight="1" outlineLevel="1">
      <c r="A27" s="355"/>
      <c r="B27" s="355"/>
      <c r="C27" s="356"/>
      <c r="D27" s="356" t="s">
        <v>673</v>
      </c>
      <c r="E27" s="355"/>
      <c r="F27" s="355"/>
      <c r="G27" s="355" t="s">
        <v>674</v>
      </c>
      <c r="H27" s="355" t="s">
        <v>675</v>
      </c>
      <c r="I27" s="355"/>
      <c r="J27" s="355"/>
      <c r="K27" s="355"/>
      <c r="L27" s="355"/>
      <c r="M27" s="355"/>
      <c r="N27" s="355"/>
      <c r="O27" s="374">
        <v>1</v>
      </c>
      <c r="P27" s="371"/>
      <c r="Q27" s="372"/>
      <c r="R27" s="372"/>
      <c r="S27" s="371"/>
      <c r="T27" s="355"/>
      <c r="U27" s="355"/>
      <c r="V27" s="355"/>
      <c r="W27" s="355"/>
      <c r="X27" s="355" t="s">
        <v>150</v>
      </c>
      <c r="Y27" s="373"/>
      <c r="Z27" s="373"/>
      <c r="AA27" s="359"/>
      <c r="AB27" s="360">
        <f>VLOOKUP(D27,원가정보3!E26:I757,5,0)</f>
        <v>75604.100000000006</v>
      </c>
      <c r="AC27" s="468">
        <f t="shared" ref="AC27:AC28" si="2">AB27*O27</f>
        <v>75604.100000000006</v>
      </c>
      <c r="AD27" s="377"/>
      <c r="AK27" s="467"/>
    </row>
    <row r="28" spans="1:37" s="86" customFormat="1" ht="18" customHeight="1" outlineLevel="1">
      <c r="A28" s="355"/>
      <c r="B28" s="355"/>
      <c r="C28" s="356"/>
      <c r="D28" s="356" t="s">
        <v>676</v>
      </c>
      <c r="E28" s="355"/>
      <c r="F28" s="355"/>
      <c r="G28" s="355" t="s">
        <v>677</v>
      </c>
      <c r="H28" s="355" t="s">
        <v>678</v>
      </c>
      <c r="I28" s="355"/>
      <c r="J28" s="355"/>
      <c r="K28" s="355"/>
      <c r="L28" s="355"/>
      <c r="M28" s="355"/>
      <c r="N28" s="355"/>
      <c r="O28" s="374">
        <v>1</v>
      </c>
      <c r="P28" s="371"/>
      <c r="Q28" s="372"/>
      <c r="R28" s="372"/>
      <c r="S28" s="371"/>
      <c r="T28" s="355"/>
      <c r="U28" s="355"/>
      <c r="V28" s="355"/>
      <c r="W28" s="355"/>
      <c r="X28" s="355" t="s">
        <v>150</v>
      </c>
      <c r="Y28" s="373"/>
      <c r="Z28" s="373"/>
      <c r="AA28" s="359"/>
      <c r="AB28" s="360">
        <f>VLOOKUP(D28,원가정보3!E27:I758,5,0)</f>
        <v>31373.100000000002</v>
      </c>
      <c r="AC28" s="468">
        <f t="shared" si="2"/>
        <v>31373.100000000002</v>
      </c>
      <c r="AD28" s="377"/>
      <c r="AK28" s="467"/>
    </row>
    <row r="29" spans="1:37" s="4" customFormat="1" outlineLevel="1">
      <c r="A29" s="379" t="s">
        <v>451</v>
      </c>
      <c r="B29" s="379"/>
      <c r="C29" s="380">
        <v>1</v>
      </c>
      <c r="D29" s="460" t="str">
        <f>IF('사양 입력'!$C$8=30,"24110040G0100",IF('사양 입력'!$C$8=45,"24110040G0200",IF('사양 입력'!$C$8=60,"24110040G0300",IF('사양 입력'!$C$8=90,"24110040G0400",IF('사양 입력'!$C$8=105,"24110040G0500",IF('사양 입력'!$C$8=120,"24110040G0600",IF('사양 입력'!$C$8=150,"24110040G0700",FALSE)))))))</f>
        <v>24110040G0300</v>
      </c>
      <c r="E29" s="379">
        <v>160</v>
      </c>
      <c r="F29" s="379" t="s">
        <v>189</v>
      </c>
      <c r="G29" s="379" t="s">
        <v>230</v>
      </c>
      <c r="H29" s="381" t="str">
        <f>LEFT(D29,11)</f>
        <v>24110040G03</v>
      </c>
      <c r="I29" s="379" t="s">
        <v>192</v>
      </c>
      <c r="J29" s="379" t="s">
        <v>193</v>
      </c>
      <c r="K29" s="379" t="s">
        <v>231</v>
      </c>
      <c r="L29" s="379" t="s">
        <v>173</v>
      </c>
      <c r="M29" s="379"/>
      <c r="N29" s="379"/>
      <c r="O29" s="382">
        <v>1</v>
      </c>
      <c r="P29" s="382"/>
      <c r="Q29" s="383" t="s">
        <v>553</v>
      </c>
      <c r="R29" s="383"/>
      <c r="S29" s="382"/>
      <c r="T29" s="379" t="s">
        <v>554</v>
      </c>
      <c r="U29" s="379" t="s">
        <v>234</v>
      </c>
      <c r="V29" s="379"/>
      <c r="W29" s="379" t="s">
        <v>197</v>
      </c>
      <c r="X29" s="379" t="s">
        <v>642</v>
      </c>
      <c r="Y29" s="384">
        <v>45001.746249999997</v>
      </c>
      <c r="Z29" s="385"/>
      <c r="AA29" s="386"/>
      <c r="AB29" s="353">
        <f>VLOOKUP(D29,원가정보3!E26:I757,5,0)</f>
        <v>99740.294500000004</v>
      </c>
      <c r="AC29" s="353">
        <f t="shared" si="1"/>
        <v>99740.294500000004</v>
      </c>
      <c r="AD29" s="354"/>
    </row>
    <row r="30" spans="1:37" s="4" customFormat="1" outlineLevel="1">
      <c r="A30" s="379" t="s">
        <v>235</v>
      </c>
      <c r="B30" s="379"/>
      <c r="C30" s="380">
        <v>1</v>
      </c>
      <c r="D30" s="380" t="s">
        <v>679</v>
      </c>
      <c r="E30" s="379">
        <v>1570</v>
      </c>
      <c r="F30" s="379" t="s">
        <v>189</v>
      </c>
      <c r="G30" s="379" t="s">
        <v>237</v>
      </c>
      <c r="H30" s="379" t="s">
        <v>238</v>
      </c>
      <c r="I30" s="379" t="s">
        <v>192</v>
      </c>
      <c r="J30" s="379" t="s">
        <v>193</v>
      </c>
      <c r="K30" s="379" t="s">
        <v>239</v>
      </c>
      <c r="L30" s="379" t="s">
        <v>173</v>
      </c>
      <c r="M30" s="379"/>
      <c r="N30" s="379"/>
      <c r="O30" s="382">
        <v>1</v>
      </c>
      <c r="P30" s="382"/>
      <c r="Q30" s="383"/>
      <c r="R30" s="383"/>
      <c r="S30" s="382"/>
      <c r="T30" s="379" t="s">
        <v>240</v>
      </c>
      <c r="U30" s="379" t="s">
        <v>241</v>
      </c>
      <c r="V30" s="379"/>
      <c r="W30" s="379" t="s">
        <v>197</v>
      </c>
      <c r="X30" s="379" t="s">
        <v>642</v>
      </c>
      <c r="Y30" s="384">
        <v>44964.611458333333</v>
      </c>
      <c r="Z30" s="385"/>
      <c r="AA30" s="386"/>
      <c r="AB30" s="353">
        <f>VLOOKUP(D30,원가정보3!E27:I758,5,0)</f>
        <v>43654.600000000006</v>
      </c>
      <c r="AC30" s="353">
        <f t="shared" si="1"/>
        <v>43654.600000000006</v>
      </c>
      <c r="AD30" s="354"/>
    </row>
    <row r="31" spans="1:37" s="4" customFormat="1" outlineLevel="1">
      <c r="A31" s="379" t="s">
        <v>242</v>
      </c>
      <c r="B31" s="379"/>
      <c r="C31" s="380">
        <v>1</v>
      </c>
      <c r="D31" s="380" t="s">
        <v>243</v>
      </c>
      <c r="E31" s="379">
        <v>1580</v>
      </c>
      <c r="F31" s="379" t="s">
        <v>189</v>
      </c>
      <c r="G31" s="379" t="s">
        <v>244</v>
      </c>
      <c r="H31" s="379" t="s">
        <v>245</v>
      </c>
      <c r="I31" s="379" t="s">
        <v>192</v>
      </c>
      <c r="J31" s="379" t="s">
        <v>193</v>
      </c>
      <c r="K31" s="379" t="s">
        <v>246</v>
      </c>
      <c r="L31" s="379" t="s">
        <v>173</v>
      </c>
      <c r="M31" s="379"/>
      <c r="N31" s="379"/>
      <c r="O31" s="387">
        <f>'사양 입력'!C7</f>
        <v>15</v>
      </c>
      <c r="P31" s="382"/>
      <c r="Q31" s="383" t="s">
        <v>680</v>
      </c>
      <c r="R31" s="383"/>
      <c r="S31" s="382"/>
      <c r="T31" s="379" t="s">
        <v>248</v>
      </c>
      <c r="U31" s="379" t="s">
        <v>249</v>
      </c>
      <c r="V31" s="379"/>
      <c r="W31" s="379" t="s">
        <v>197</v>
      </c>
      <c r="X31" s="379" t="s">
        <v>642</v>
      </c>
      <c r="Y31" s="384">
        <v>44964.611458333333</v>
      </c>
      <c r="Z31" s="385"/>
      <c r="AA31" s="386"/>
      <c r="AB31" s="353">
        <f>VLOOKUP(D31,원가정보3!E28:I759,5,0)</f>
        <v>3390.2000000000003</v>
      </c>
      <c r="AC31" s="353">
        <f t="shared" si="1"/>
        <v>50853.000000000007</v>
      </c>
      <c r="AD31" s="354"/>
    </row>
    <row r="32" spans="1:37" s="4" customFormat="1" outlineLevel="1">
      <c r="A32" s="379" t="s">
        <v>250</v>
      </c>
      <c r="B32" s="379"/>
      <c r="C32" s="380">
        <v>1</v>
      </c>
      <c r="D32" s="380" t="s">
        <v>251</v>
      </c>
      <c r="E32" s="379">
        <v>1590</v>
      </c>
      <c r="F32" s="379" t="s">
        <v>189</v>
      </c>
      <c r="G32" s="379" t="s">
        <v>252</v>
      </c>
      <c r="H32" s="379" t="s">
        <v>253</v>
      </c>
      <c r="I32" s="379" t="s">
        <v>192</v>
      </c>
      <c r="J32" s="379" t="s">
        <v>193</v>
      </c>
      <c r="K32" s="379" t="s">
        <v>254</v>
      </c>
      <c r="L32" s="379" t="s">
        <v>173</v>
      </c>
      <c r="M32" s="379"/>
      <c r="N32" s="379"/>
      <c r="O32" s="388">
        <f>ROUNDUP(O31/5,0)</f>
        <v>3</v>
      </c>
      <c r="P32" s="382"/>
      <c r="Q32" s="383"/>
      <c r="R32" s="383"/>
      <c r="S32" s="382"/>
      <c r="T32" s="379" t="s">
        <v>255</v>
      </c>
      <c r="U32" s="379" t="s">
        <v>234</v>
      </c>
      <c r="V32" s="379"/>
      <c r="W32" s="379" t="s">
        <v>197</v>
      </c>
      <c r="X32" s="379" t="s">
        <v>642</v>
      </c>
      <c r="Y32" s="384">
        <v>44964.611458333333</v>
      </c>
      <c r="Z32" s="385"/>
      <c r="AA32" s="386"/>
      <c r="AB32" s="353">
        <f>VLOOKUP(D32,원가정보3!E29:I760,5,0)</f>
        <v>806.30000000000007</v>
      </c>
      <c r="AC32" s="353">
        <f t="shared" si="1"/>
        <v>2418.9</v>
      </c>
      <c r="AD32" s="354"/>
    </row>
    <row r="33" spans="1:30" s="4" customFormat="1" ht="174" outlineLevel="1">
      <c r="A33" s="389" t="s">
        <v>556</v>
      </c>
      <c r="B33" s="389"/>
      <c r="C33" s="390">
        <v>1</v>
      </c>
      <c r="D33" s="458" t="str">
        <f>IF('사양 입력'!C7&lt;10,"25900933G0"&amp;'사양 입력'!C7&amp;"00","25900933G"&amp;'사양 입력'!C7&amp;"00")</f>
        <v>25900933G1500</v>
      </c>
      <c r="E33" s="389">
        <v>190</v>
      </c>
      <c r="F33" s="389" t="s">
        <v>189</v>
      </c>
      <c r="G33" s="389" t="s">
        <v>257</v>
      </c>
      <c r="H33" s="391" t="str">
        <f>LEFT(D33,11)</f>
        <v>25900933G15</v>
      </c>
      <c r="I33" s="389" t="s">
        <v>192</v>
      </c>
      <c r="J33" s="389" t="s">
        <v>258</v>
      </c>
      <c r="K33" s="389" t="s">
        <v>259</v>
      </c>
      <c r="L33" s="389" t="s">
        <v>173</v>
      </c>
      <c r="M33" s="389"/>
      <c r="N33" s="389"/>
      <c r="O33" s="392">
        <v>1</v>
      </c>
      <c r="P33" s="392"/>
      <c r="Q33" s="393" t="s">
        <v>557</v>
      </c>
      <c r="R33" s="393"/>
      <c r="S33" s="392"/>
      <c r="T33" s="389" t="s">
        <v>558</v>
      </c>
      <c r="U33" s="389" t="s">
        <v>559</v>
      </c>
      <c r="V33" s="389"/>
      <c r="W33" s="389" t="s">
        <v>197</v>
      </c>
      <c r="X33" s="389" t="s">
        <v>642</v>
      </c>
      <c r="Y33" s="394">
        <v>45001.746249999997</v>
      </c>
      <c r="Z33" s="395"/>
      <c r="AA33" s="396"/>
      <c r="AB33" s="397">
        <f>VLOOKUP(D33,원가정보3!E30:I761,5,0)</f>
        <v>131715.1</v>
      </c>
      <c r="AC33" s="397">
        <f t="shared" si="1"/>
        <v>131715.1</v>
      </c>
      <c r="AD33" s="354"/>
    </row>
    <row r="34" spans="1:30" s="4" customFormat="1" outlineLevel="1">
      <c r="A34" s="389" t="s">
        <v>560</v>
      </c>
      <c r="B34" s="389"/>
      <c r="C34" s="390">
        <v>1</v>
      </c>
      <c r="D34" s="390" t="s">
        <v>264</v>
      </c>
      <c r="E34" s="389">
        <v>200</v>
      </c>
      <c r="F34" s="389" t="s">
        <v>189</v>
      </c>
      <c r="G34" s="389" t="s">
        <v>257</v>
      </c>
      <c r="H34" s="389" t="s">
        <v>265</v>
      </c>
      <c r="I34" s="389" t="s">
        <v>192</v>
      </c>
      <c r="J34" s="389" t="s">
        <v>258</v>
      </c>
      <c r="K34" s="389" t="s">
        <v>266</v>
      </c>
      <c r="L34" s="389" t="s">
        <v>173</v>
      </c>
      <c r="M34" s="389"/>
      <c r="N34" s="389"/>
      <c r="O34" s="392">
        <v>1</v>
      </c>
      <c r="P34" s="392"/>
      <c r="Q34" s="393"/>
      <c r="R34" s="393"/>
      <c r="S34" s="392"/>
      <c r="T34" s="389" t="s">
        <v>267</v>
      </c>
      <c r="U34" s="389" t="s">
        <v>234</v>
      </c>
      <c r="V34" s="389"/>
      <c r="W34" s="389" t="s">
        <v>197</v>
      </c>
      <c r="X34" s="389" t="s">
        <v>642</v>
      </c>
      <c r="Y34" s="394">
        <v>45001.746249999997</v>
      </c>
      <c r="Z34" s="395"/>
      <c r="AA34" s="396"/>
      <c r="AB34" s="397">
        <f>VLOOKUP(D34,원가정보3!E31:I762,5,0)</f>
        <v>13311.1</v>
      </c>
      <c r="AC34" s="397">
        <f t="shared" si="1"/>
        <v>13311.1</v>
      </c>
      <c r="AD34" s="354"/>
    </row>
    <row r="35" spans="1:30" s="4" customFormat="1" outlineLevel="1">
      <c r="A35" s="389" t="s">
        <v>187</v>
      </c>
      <c r="B35" s="389"/>
      <c r="C35" s="390">
        <v>1</v>
      </c>
      <c r="D35" s="390" t="s">
        <v>269</v>
      </c>
      <c r="E35" s="389">
        <v>210</v>
      </c>
      <c r="F35" s="389" t="s">
        <v>189</v>
      </c>
      <c r="G35" s="389" t="s">
        <v>270</v>
      </c>
      <c r="H35" s="389" t="s">
        <v>271</v>
      </c>
      <c r="I35" s="389" t="s">
        <v>192</v>
      </c>
      <c r="J35" s="389" t="s">
        <v>258</v>
      </c>
      <c r="K35" s="389" t="s">
        <v>266</v>
      </c>
      <c r="L35" s="389" t="s">
        <v>173</v>
      </c>
      <c r="M35" s="389"/>
      <c r="N35" s="389"/>
      <c r="O35" s="392">
        <v>1</v>
      </c>
      <c r="P35" s="392"/>
      <c r="Q35" s="393"/>
      <c r="R35" s="393"/>
      <c r="S35" s="392"/>
      <c r="T35" s="389" t="s">
        <v>272</v>
      </c>
      <c r="U35" s="389" t="s">
        <v>234</v>
      </c>
      <c r="V35" s="389"/>
      <c r="W35" s="389" t="s">
        <v>197</v>
      </c>
      <c r="X35" s="389" t="s">
        <v>642</v>
      </c>
      <c r="Y35" s="394">
        <v>45001.746249999997</v>
      </c>
      <c r="Z35" s="395"/>
      <c r="AA35" s="396"/>
      <c r="AB35" s="397">
        <f>VLOOKUP(D35,원가정보3!E32:I763,5,0)</f>
        <v>3059.1000000000004</v>
      </c>
      <c r="AC35" s="397">
        <f t="shared" si="1"/>
        <v>3059.1000000000004</v>
      </c>
      <c r="AD35" s="354"/>
    </row>
    <row r="36" spans="1:30" s="350" customFormat="1" outlineLevel="1">
      <c r="A36" s="363"/>
      <c r="B36" s="363"/>
      <c r="C36" s="398"/>
      <c r="D36" s="398" t="str">
        <f>IF('사양 입력'!G14="EL TECH","259C0168G0700",IF('사양 입력'!G14="SAFE TECH","259C0168G0800",IF('사양 입력'!G14="MAJOR TECH","259C0168G1500",IF('사양 입력'!G14="ROPE GRIPPER","259C0168G0600"))))</f>
        <v>259C0168G0700</v>
      </c>
      <c r="E36" s="363"/>
      <c r="F36" s="363"/>
      <c r="G36" s="363" t="s">
        <v>681</v>
      </c>
      <c r="H36" s="363" t="str">
        <f t="shared" ref="H36" si="3">LEFT(D36,11)</f>
        <v>259C0168G07</v>
      </c>
      <c r="I36" s="363"/>
      <c r="J36" s="363"/>
      <c r="K36" s="363"/>
      <c r="L36" s="363"/>
      <c r="M36" s="363"/>
      <c r="N36" s="363"/>
      <c r="O36" s="399">
        <v>1</v>
      </c>
      <c r="P36" s="399"/>
      <c r="Q36" s="400"/>
      <c r="R36" s="400"/>
      <c r="S36" s="399"/>
      <c r="T36" s="363"/>
      <c r="U36" s="363"/>
      <c r="V36" s="363"/>
      <c r="W36" s="363"/>
      <c r="X36" s="363"/>
      <c r="Y36" s="401"/>
      <c r="Z36" s="402"/>
      <c r="AA36" s="366"/>
      <c r="AB36" s="367" t="e">
        <f>VLOOKUP(D36,원가정보3!E33:I764,5,0)</f>
        <v>#N/A</v>
      </c>
      <c r="AC36" s="367"/>
      <c r="AD36" s="354" t="s">
        <v>649</v>
      </c>
    </row>
    <row r="37" spans="1:30" s="4" customFormat="1" outlineLevel="1">
      <c r="A37" s="389"/>
      <c r="B37" s="389"/>
      <c r="C37" s="390"/>
      <c r="D37" s="390" t="s">
        <v>273</v>
      </c>
      <c r="E37" s="389">
        <v>1600</v>
      </c>
      <c r="F37" s="389" t="s">
        <v>193</v>
      </c>
      <c r="G37" s="389" t="s">
        <v>257</v>
      </c>
      <c r="H37" s="389" t="s">
        <v>682</v>
      </c>
      <c r="I37" s="389" t="s">
        <v>192</v>
      </c>
      <c r="J37" s="389" t="s">
        <v>258</v>
      </c>
      <c r="K37" s="389" t="s">
        <v>275</v>
      </c>
      <c r="L37" s="389" t="s">
        <v>202</v>
      </c>
      <c r="M37" s="389"/>
      <c r="N37" s="389"/>
      <c r="O37" s="403">
        <f>IF(O31&lt;=20,O20,0)</f>
        <v>0</v>
      </c>
      <c r="P37" s="392"/>
      <c r="Q37" s="393"/>
      <c r="R37" s="393"/>
      <c r="S37" s="392"/>
      <c r="T37" s="389" t="s">
        <v>276</v>
      </c>
      <c r="U37" s="389"/>
      <c r="V37" s="389"/>
      <c r="W37" s="389"/>
      <c r="X37" s="389" t="s">
        <v>642</v>
      </c>
      <c r="Y37" s="394"/>
      <c r="Z37" s="395"/>
      <c r="AA37" s="396"/>
      <c r="AB37" s="397">
        <f>VLOOKUP(D37,원가정보3!E34:I765,5,0)</f>
        <v>22330</v>
      </c>
      <c r="AC37" s="397">
        <f t="shared" si="1"/>
        <v>0</v>
      </c>
      <c r="AD37" s="354"/>
    </row>
    <row r="38" spans="1:30" s="4" customFormat="1" outlineLevel="1">
      <c r="A38" s="389"/>
      <c r="B38" s="389"/>
      <c r="C38" s="390"/>
      <c r="D38" s="390" t="s">
        <v>277</v>
      </c>
      <c r="E38" s="389">
        <v>1600</v>
      </c>
      <c r="F38" s="389" t="s">
        <v>193</v>
      </c>
      <c r="G38" s="389" t="s">
        <v>257</v>
      </c>
      <c r="H38" s="389" t="s">
        <v>278</v>
      </c>
      <c r="I38" s="389" t="s">
        <v>192</v>
      </c>
      <c r="J38" s="389" t="s">
        <v>258</v>
      </c>
      <c r="K38" s="389" t="s">
        <v>275</v>
      </c>
      <c r="L38" s="389" t="s">
        <v>202</v>
      </c>
      <c r="M38" s="389"/>
      <c r="N38" s="389"/>
      <c r="O38" s="403">
        <f>IF(AND(O31&gt;20,O31&lt;30),O20,0)</f>
        <v>0</v>
      </c>
      <c r="P38" s="392"/>
      <c r="Q38" s="393"/>
      <c r="R38" s="393"/>
      <c r="S38" s="392"/>
      <c r="T38" s="389" t="s">
        <v>276</v>
      </c>
      <c r="U38" s="389"/>
      <c r="V38" s="389"/>
      <c r="W38" s="389"/>
      <c r="X38" s="389" t="s">
        <v>642</v>
      </c>
      <c r="Y38" s="394"/>
      <c r="Z38" s="395"/>
      <c r="AA38" s="396"/>
      <c r="AB38" s="397">
        <f>VLOOKUP(D38,원가정보3!E35:I766,5,0)</f>
        <v>32378.500000000004</v>
      </c>
      <c r="AC38" s="397">
        <f t="shared" si="1"/>
        <v>0</v>
      </c>
      <c r="AD38" s="354"/>
    </row>
    <row r="39" spans="1:30" s="4" customFormat="1" ht="34.799999999999997" outlineLevel="1">
      <c r="A39" s="389" t="s">
        <v>561</v>
      </c>
      <c r="B39" s="389"/>
      <c r="C39" s="390">
        <v>1</v>
      </c>
      <c r="D39" s="458" t="str">
        <f>IF('사양 입력'!$C$5&lt;=7,"HX058004H0200",IF(AND('사양 입력'!$C$5&gt;=7.1,'사양 입력'!$C$5&lt;=11.3),"HX058004H0300",IF(AND('사양 입력'!$C$5&gt;=11.4,'사양 입력'!$C$5&lt;=14.1),"HX058004H0400",IF(AND('사양 입력'!$C$5&gt;=14.2,'사양 입력'!$C$5&lt;=20.6),"HX058004H0500",IF(AND('사양 입력'!$C$5&gt;=20.7,'사양 입력'!$C$5&lt;=26.5),"HX058004H0600",IF(AND('사양 입력'!$C$5&gt;=26.6,'사양 입력'!$C$5&lt;=33),"HX058004H0700",IF(AND('사양 입력'!$C$5&gt;=33.1,'사양 입력'!$C$5&lt;=50),"HX058004H0800","용량오류")))))))</f>
        <v>HX058004H0200</v>
      </c>
      <c r="E39" s="389">
        <v>220</v>
      </c>
      <c r="F39" s="389" t="s">
        <v>189</v>
      </c>
      <c r="G39" s="389" t="s">
        <v>280</v>
      </c>
      <c r="H39" s="391" t="str">
        <f t="shared" ref="H39:H40" si="4">LEFT(D39,11)</f>
        <v>HX058004H02</v>
      </c>
      <c r="I39" s="389" t="s">
        <v>192</v>
      </c>
      <c r="J39" s="389" t="s">
        <v>258</v>
      </c>
      <c r="K39" s="389" t="s">
        <v>281</v>
      </c>
      <c r="L39" s="389" t="s">
        <v>173</v>
      </c>
      <c r="M39" s="389"/>
      <c r="N39" s="389"/>
      <c r="O39" s="392">
        <v>54</v>
      </c>
      <c r="P39" s="392"/>
      <c r="Q39" s="393" t="s">
        <v>562</v>
      </c>
      <c r="R39" s="393"/>
      <c r="S39" s="392"/>
      <c r="T39" s="389" t="s">
        <v>283</v>
      </c>
      <c r="U39" s="389" t="s">
        <v>284</v>
      </c>
      <c r="V39" s="389"/>
      <c r="W39" s="389" t="s">
        <v>285</v>
      </c>
      <c r="X39" s="389" t="s">
        <v>642</v>
      </c>
      <c r="Y39" s="394">
        <v>45001.746249999997</v>
      </c>
      <c r="Z39" s="395"/>
      <c r="AA39" s="396"/>
      <c r="AB39" s="397">
        <f>VLOOKUP(D39,원가정보3!E36:I767,5,0)</f>
        <v>1027.4000000000001</v>
      </c>
      <c r="AC39" s="397">
        <f t="shared" si="1"/>
        <v>55479.600000000006</v>
      </c>
      <c r="AD39" s="354"/>
    </row>
    <row r="40" spans="1:30" s="4" customFormat="1" ht="34.799999999999997" outlineLevel="1">
      <c r="A40" s="389" t="s">
        <v>563</v>
      </c>
      <c r="B40" s="389"/>
      <c r="C40" s="390">
        <v>1</v>
      </c>
      <c r="D40" s="458" t="str">
        <f>IF('사양 입력'!$C$5&lt;=7,"HX058006H0200",IF(AND('사양 입력'!$C$5&gt;=7.1,'사양 입력'!$C$5&lt;=11.3),"HX058006H0300",IF(AND('사양 입력'!$C$5&gt;=11.4,'사양 입력'!$C$5&lt;=14.1),"HX058006H0400",IF(AND('사양 입력'!$C$5&gt;=14.2,'사양 입력'!$C$5&lt;=33),"HX058006H0500",IF(AND('사양 입력'!$C$5&gt;=33.1,'사양 입력'!$C$5&lt;=50),"HX058006H0600","용량오류")))))</f>
        <v>HX058006H0200</v>
      </c>
      <c r="E40" s="389">
        <v>230</v>
      </c>
      <c r="F40" s="389" t="s">
        <v>193</v>
      </c>
      <c r="G40" s="389" t="s">
        <v>257</v>
      </c>
      <c r="H40" s="391" t="str">
        <f t="shared" si="4"/>
        <v>HX058006H02</v>
      </c>
      <c r="I40" s="389" t="s">
        <v>192</v>
      </c>
      <c r="J40" s="389" t="s">
        <v>258</v>
      </c>
      <c r="K40" s="389" t="s">
        <v>288</v>
      </c>
      <c r="L40" s="389" t="s">
        <v>173</v>
      </c>
      <c r="M40" s="389"/>
      <c r="N40" s="389"/>
      <c r="O40" s="392">
        <v>18</v>
      </c>
      <c r="P40" s="392"/>
      <c r="Q40" s="393" t="s">
        <v>564</v>
      </c>
      <c r="R40" s="393"/>
      <c r="S40" s="392"/>
      <c r="T40" s="389" t="s">
        <v>290</v>
      </c>
      <c r="U40" s="389" t="s">
        <v>284</v>
      </c>
      <c r="V40" s="389"/>
      <c r="W40" s="389" t="s">
        <v>285</v>
      </c>
      <c r="X40" s="389" t="s">
        <v>642</v>
      </c>
      <c r="Y40" s="394">
        <v>45001.746249999997</v>
      </c>
      <c r="Z40" s="395"/>
      <c r="AA40" s="396"/>
      <c r="AB40" s="397">
        <f>VLOOKUP(D40,원가정보3!E37:I768,5,0)</f>
        <v>1027.4000000000001</v>
      </c>
      <c r="AC40" s="397">
        <f t="shared" si="1"/>
        <v>18493.2</v>
      </c>
      <c r="AD40" s="354"/>
    </row>
    <row r="41" spans="1:30" s="4" customFormat="1" outlineLevel="1">
      <c r="A41" s="389" t="s">
        <v>565</v>
      </c>
      <c r="B41" s="389"/>
      <c r="C41" s="390">
        <v>1</v>
      </c>
      <c r="D41" s="390" t="s">
        <v>566</v>
      </c>
      <c r="E41" s="389">
        <v>240</v>
      </c>
      <c r="F41" s="389" t="s">
        <v>189</v>
      </c>
      <c r="G41" s="389" t="s">
        <v>567</v>
      </c>
      <c r="H41" s="389" t="s">
        <v>568</v>
      </c>
      <c r="I41" s="389" t="s">
        <v>192</v>
      </c>
      <c r="J41" s="389" t="s">
        <v>258</v>
      </c>
      <c r="K41" s="389" t="s">
        <v>569</v>
      </c>
      <c r="L41" s="389" t="s">
        <v>173</v>
      </c>
      <c r="M41" s="389"/>
      <c r="N41" s="389"/>
      <c r="O41" s="392">
        <v>20</v>
      </c>
      <c r="P41" s="392"/>
      <c r="Q41" s="393" t="s">
        <v>570</v>
      </c>
      <c r="R41" s="393"/>
      <c r="S41" s="392"/>
      <c r="T41" s="389" t="s">
        <v>571</v>
      </c>
      <c r="U41" s="389" t="s">
        <v>284</v>
      </c>
      <c r="V41" s="389"/>
      <c r="W41" s="389" t="s">
        <v>285</v>
      </c>
      <c r="X41" s="389" t="s">
        <v>642</v>
      </c>
      <c r="Y41" s="394">
        <v>45001.746249999997</v>
      </c>
      <c r="Z41" s="395"/>
      <c r="AA41" s="396"/>
      <c r="AB41" s="397">
        <f>VLOOKUP(D41,원가정보3!E38:I769,5,0)</f>
        <v>671</v>
      </c>
      <c r="AC41" s="397">
        <f t="shared" si="1"/>
        <v>13420</v>
      </c>
      <c r="AD41" s="354"/>
    </row>
    <row r="42" spans="1:30" s="4" customFormat="1" outlineLevel="1">
      <c r="A42" s="389" t="s">
        <v>572</v>
      </c>
      <c r="B42" s="389"/>
      <c r="C42" s="390">
        <v>1</v>
      </c>
      <c r="D42" s="390" t="s">
        <v>292</v>
      </c>
      <c r="E42" s="389">
        <v>250</v>
      </c>
      <c r="F42" s="389" t="s">
        <v>189</v>
      </c>
      <c r="G42" s="389" t="s">
        <v>257</v>
      </c>
      <c r="H42" s="389" t="s">
        <v>293</v>
      </c>
      <c r="I42" s="389" t="s">
        <v>192</v>
      </c>
      <c r="J42" s="389" t="s">
        <v>258</v>
      </c>
      <c r="K42" s="389" t="s">
        <v>294</v>
      </c>
      <c r="L42" s="389" t="s">
        <v>173</v>
      </c>
      <c r="M42" s="389"/>
      <c r="N42" s="389"/>
      <c r="O42" s="392">
        <v>10</v>
      </c>
      <c r="P42" s="392"/>
      <c r="Q42" s="393" t="s">
        <v>295</v>
      </c>
      <c r="R42" s="393"/>
      <c r="S42" s="392"/>
      <c r="T42" s="389" t="s">
        <v>296</v>
      </c>
      <c r="U42" s="389" t="s">
        <v>234</v>
      </c>
      <c r="V42" s="389"/>
      <c r="W42" s="389" t="s">
        <v>285</v>
      </c>
      <c r="X42" s="389" t="s">
        <v>642</v>
      </c>
      <c r="Y42" s="394">
        <v>45001.746249999997</v>
      </c>
      <c r="Z42" s="395"/>
      <c r="AA42" s="396"/>
      <c r="AB42" s="397">
        <f>VLOOKUP(D42,원가정보3!E39:I770,5,0)</f>
        <v>378.40000000000003</v>
      </c>
      <c r="AC42" s="397">
        <f t="shared" si="1"/>
        <v>3784.0000000000005</v>
      </c>
      <c r="AD42" s="354"/>
    </row>
    <row r="43" spans="1:30" s="4" customFormat="1" ht="34.799999999999997" outlineLevel="1">
      <c r="A43" s="389" t="s">
        <v>573</v>
      </c>
      <c r="B43" s="389"/>
      <c r="C43" s="390">
        <v>1</v>
      </c>
      <c r="D43" s="390" t="s">
        <v>574</v>
      </c>
      <c r="E43" s="389">
        <v>260</v>
      </c>
      <c r="F43" s="389" t="s">
        <v>189</v>
      </c>
      <c r="G43" s="389" t="s">
        <v>257</v>
      </c>
      <c r="H43" s="389" t="s">
        <v>299</v>
      </c>
      <c r="I43" s="389" t="s">
        <v>192</v>
      </c>
      <c r="J43" s="389" t="s">
        <v>258</v>
      </c>
      <c r="K43" s="389" t="s">
        <v>300</v>
      </c>
      <c r="L43" s="389" t="s">
        <v>173</v>
      </c>
      <c r="M43" s="389"/>
      <c r="N43" s="389"/>
      <c r="O43" s="392">
        <v>11</v>
      </c>
      <c r="P43" s="392"/>
      <c r="Q43" s="393" t="s">
        <v>575</v>
      </c>
      <c r="R43" s="393"/>
      <c r="S43" s="392"/>
      <c r="T43" s="389" t="s">
        <v>302</v>
      </c>
      <c r="U43" s="389" t="s">
        <v>303</v>
      </c>
      <c r="V43" s="389"/>
      <c r="W43" s="389" t="s">
        <v>285</v>
      </c>
      <c r="X43" s="389" t="s">
        <v>642</v>
      </c>
      <c r="Y43" s="394">
        <v>45001.746249999997</v>
      </c>
      <c r="Z43" s="395"/>
      <c r="AA43" s="396"/>
      <c r="AB43" s="397">
        <f>VLOOKUP(D43,원가정보3!E40:I771,5,0)</f>
        <v>817.30000000000007</v>
      </c>
      <c r="AC43" s="397">
        <f t="shared" si="1"/>
        <v>8990.3000000000011</v>
      </c>
      <c r="AD43" s="354"/>
    </row>
    <row r="44" spans="1:30" s="4" customFormat="1" outlineLevel="1">
      <c r="A44" s="389" t="s">
        <v>576</v>
      </c>
      <c r="B44" s="389"/>
      <c r="C44" s="390">
        <v>1</v>
      </c>
      <c r="D44" s="390" t="s">
        <v>305</v>
      </c>
      <c r="E44" s="389">
        <v>270</v>
      </c>
      <c r="F44" s="389" t="s">
        <v>189</v>
      </c>
      <c r="G44" s="389" t="s">
        <v>257</v>
      </c>
      <c r="H44" s="389" t="s">
        <v>306</v>
      </c>
      <c r="I44" s="389" t="s">
        <v>192</v>
      </c>
      <c r="J44" s="389" t="s">
        <v>258</v>
      </c>
      <c r="K44" s="389" t="s">
        <v>307</v>
      </c>
      <c r="L44" s="389" t="s">
        <v>173</v>
      </c>
      <c r="M44" s="389"/>
      <c r="N44" s="389"/>
      <c r="O44" s="392">
        <v>4</v>
      </c>
      <c r="P44" s="392"/>
      <c r="Q44" s="393" t="s">
        <v>308</v>
      </c>
      <c r="R44" s="393"/>
      <c r="S44" s="392"/>
      <c r="T44" s="389" t="s">
        <v>309</v>
      </c>
      <c r="U44" s="389" t="s">
        <v>310</v>
      </c>
      <c r="V44" s="389"/>
      <c r="W44" s="389" t="s">
        <v>285</v>
      </c>
      <c r="X44" s="389" t="s">
        <v>642</v>
      </c>
      <c r="Y44" s="394">
        <v>45001.746249999997</v>
      </c>
      <c r="Z44" s="395"/>
      <c r="AA44" s="396"/>
      <c r="AB44" s="397">
        <f>VLOOKUP(D44,원가정보3!E41:I772,5,0)</f>
        <v>1196.8000000000002</v>
      </c>
      <c r="AC44" s="397">
        <f t="shared" si="1"/>
        <v>4787.2000000000007</v>
      </c>
      <c r="AD44" s="354"/>
    </row>
    <row r="45" spans="1:30" s="4" customFormat="1" ht="87" outlineLevel="1">
      <c r="A45" s="389" t="s">
        <v>577</v>
      </c>
      <c r="B45" s="389"/>
      <c r="C45" s="390">
        <v>1</v>
      </c>
      <c r="D45" s="390" t="s">
        <v>312</v>
      </c>
      <c r="E45" s="389">
        <v>280</v>
      </c>
      <c r="F45" s="389" t="s">
        <v>189</v>
      </c>
      <c r="G45" s="389" t="s">
        <v>257</v>
      </c>
      <c r="H45" s="389" t="s">
        <v>313</v>
      </c>
      <c r="I45" s="389" t="s">
        <v>192</v>
      </c>
      <c r="J45" s="389" t="s">
        <v>258</v>
      </c>
      <c r="K45" s="389" t="s">
        <v>683</v>
      </c>
      <c r="L45" s="389" t="s">
        <v>173</v>
      </c>
      <c r="M45" s="389"/>
      <c r="N45" s="389"/>
      <c r="O45" s="403">
        <f>ROUNDUP(8+14+4+8+8.2+('사양 입력'!C12+'사양 입력'!C11)/1000,0)</f>
        <v>92</v>
      </c>
      <c r="P45" s="392"/>
      <c r="Q45" s="393" t="s">
        <v>684</v>
      </c>
      <c r="R45" s="393"/>
      <c r="S45" s="392"/>
      <c r="T45" s="389" t="s">
        <v>316</v>
      </c>
      <c r="U45" s="389" t="s">
        <v>303</v>
      </c>
      <c r="V45" s="389"/>
      <c r="W45" s="389" t="s">
        <v>285</v>
      </c>
      <c r="X45" s="389" t="s">
        <v>642</v>
      </c>
      <c r="Y45" s="394">
        <v>45001.746249999997</v>
      </c>
      <c r="Z45" s="395"/>
      <c r="AA45" s="396"/>
      <c r="AB45" s="397">
        <f>VLOOKUP(D45,원가정보3!E42:I773,5,0)</f>
        <v>1767.7</v>
      </c>
      <c r="AC45" s="397">
        <f t="shared" si="1"/>
        <v>162628.4</v>
      </c>
      <c r="AD45" s="354" t="s">
        <v>685</v>
      </c>
    </row>
    <row r="46" spans="1:30" s="4" customFormat="1" outlineLevel="1">
      <c r="A46" s="389" t="s">
        <v>580</v>
      </c>
      <c r="B46" s="389"/>
      <c r="C46" s="390">
        <v>1</v>
      </c>
      <c r="D46" s="390" t="s">
        <v>318</v>
      </c>
      <c r="E46" s="389">
        <v>290</v>
      </c>
      <c r="F46" s="389" t="s">
        <v>189</v>
      </c>
      <c r="G46" s="389" t="s">
        <v>257</v>
      </c>
      <c r="H46" s="389" t="s">
        <v>319</v>
      </c>
      <c r="I46" s="389" t="s">
        <v>192</v>
      </c>
      <c r="J46" s="389" t="s">
        <v>258</v>
      </c>
      <c r="K46" s="389" t="s">
        <v>320</v>
      </c>
      <c r="L46" s="389" t="s">
        <v>173</v>
      </c>
      <c r="M46" s="389"/>
      <c r="N46" s="389"/>
      <c r="O46" s="403">
        <f>ROUNDUP(11+('사양 입력'!$C$11+'사양 입력'!$C$12)/1000,0)</f>
        <v>61</v>
      </c>
      <c r="P46" s="392"/>
      <c r="Q46" s="393" t="s">
        <v>581</v>
      </c>
      <c r="R46" s="393"/>
      <c r="S46" s="392"/>
      <c r="T46" s="389" t="s">
        <v>322</v>
      </c>
      <c r="U46" s="389" t="s">
        <v>303</v>
      </c>
      <c r="V46" s="389"/>
      <c r="W46" s="389" t="s">
        <v>285</v>
      </c>
      <c r="X46" s="389" t="s">
        <v>642</v>
      </c>
      <c r="Y46" s="394">
        <v>45001.746249999997</v>
      </c>
      <c r="Z46" s="395"/>
      <c r="AA46" s="396"/>
      <c r="AB46" s="397">
        <f>VLOOKUP(D46,원가정보3!E43:I774,5,0)</f>
        <v>3997.4000000000005</v>
      </c>
      <c r="AC46" s="397">
        <f t="shared" si="1"/>
        <v>243841.40000000002</v>
      </c>
      <c r="AD46" s="354"/>
    </row>
    <row r="47" spans="1:30" s="4" customFormat="1" outlineLevel="1">
      <c r="A47" s="389"/>
      <c r="B47" s="389"/>
      <c r="C47" s="390"/>
      <c r="D47" s="390" t="s">
        <v>323</v>
      </c>
      <c r="E47" s="389">
        <v>1680</v>
      </c>
      <c r="F47" s="389" t="s">
        <v>189</v>
      </c>
      <c r="G47" s="389" t="s">
        <v>257</v>
      </c>
      <c r="H47" s="389" t="s">
        <v>324</v>
      </c>
      <c r="I47" s="389" t="s">
        <v>192</v>
      </c>
      <c r="J47" s="389" t="s">
        <v>258</v>
      </c>
      <c r="K47" s="389" t="s">
        <v>325</v>
      </c>
      <c r="L47" s="389" t="s">
        <v>202</v>
      </c>
      <c r="M47" s="389"/>
      <c r="N47" s="389"/>
      <c r="O47" s="403">
        <f>IF(O20&gt;=1,ROUNDUP((5000+'사양 입력'!$C$11+'사양 입력'!$C$12+4000)/1000,0),0)</f>
        <v>0</v>
      </c>
      <c r="P47" s="392"/>
      <c r="Q47" s="393" t="s">
        <v>686</v>
      </c>
      <c r="R47" s="393"/>
      <c r="S47" s="392"/>
      <c r="T47" s="389" t="s">
        <v>327</v>
      </c>
      <c r="U47" s="389"/>
      <c r="V47" s="389"/>
      <c r="W47" s="389"/>
      <c r="X47" s="389" t="s">
        <v>642</v>
      </c>
      <c r="Y47" s="394"/>
      <c r="Z47" s="395"/>
      <c r="AA47" s="396"/>
      <c r="AB47" s="397">
        <f>VLOOKUP(D47,원가정보3!E44:I775,5,0)</f>
        <v>1745.7</v>
      </c>
      <c r="AC47" s="397">
        <f t="shared" si="1"/>
        <v>0</v>
      </c>
      <c r="AD47" s="354"/>
    </row>
    <row r="48" spans="1:30" s="4" customFormat="1" outlineLevel="1">
      <c r="A48" s="389" t="s">
        <v>582</v>
      </c>
      <c r="B48" s="389"/>
      <c r="C48" s="390">
        <v>1</v>
      </c>
      <c r="D48" s="390" t="s">
        <v>583</v>
      </c>
      <c r="E48" s="389">
        <v>300</v>
      </c>
      <c r="F48" s="389" t="s">
        <v>189</v>
      </c>
      <c r="G48" s="389" t="s">
        <v>257</v>
      </c>
      <c r="H48" s="389" t="s">
        <v>584</v>
      </c>
      <c r="I48" s="389" t="s">
        <v>192</v>
      </c>
      <c r="J48" s="389" t="s">
        <v>258</v>
      </c>
      <c r="K48" s="389" t="s">
        <v>585</v>
      </c>
      <c r="L48" s="389" t="s">
        <v>173</v>
      </c>
      <c r="M48" s="389"/>
      <c r="N48" s="389"/>
      <c r="O48" s="403">
        <f>ROUNDUP(16+'사양 입력'!$C$14/1000,0)</f>
        <v>67</v>
      </c>
      <c r="P48" s="392"/>
      <c r="Q48" s="393" t="s">
        <v>586</v>
      </c>
      <c r="R48" s="393"/>
      <c r="S48" s="392"/>
      <c r="T48" s="389" t="s">
        <v>587</v>
      </c>
      <c r="U48" s="389" t="s">
        <v>234</v>
      </c>
      <c r="V48" s="389"/>
      <c r="W48" s="389" t="s">
        <v>285</v>
      </c>
      <c r="X48" s="389" t="s">
        <v>642</v>
      </c>
      <c r="Y48" s="394">
        <v>45001.746249999997</v>
      </c>
      <c r="Z48" s="395"/>
      <c r="AA48" s="396"/>
      <c r="AB48" s="397">
        <f>VLOOKUP(D48,원가정보3!E45:I776,5,0)</f>
        <v>475.20000000000005</v>
      </c>
      <c r="AC48" s="397">
        <f t="shared" si="1"/>
        <v>31838.400000000001</v>
      </c>
      <c r="AD48" s="354"/>
    </row>
    <row r="49" spans="1:30" s="4" customFormat="1" outlineLevel="1">
      <c r="A49" s="389" t="s">
        <v>588</v>
      </c>
      <c r="B49" s="389"/>
      <c r="C49" s="390">
        <v>1</v>
      </c>
      <c r="D49" s="390" t="s">
        <v>335</v>
      </c>
      <c r="E49" s="389">
        <v>310</v>
      </c>
      <c r="F49" s="389" t="s">
        <v>189</v>
      </c>
      <c r="G49" s="389" t="s">
        <v>257</v>
      </c>
      <c r="H49" s="389" t="s">
        <v>336</v>
      </c>
      <c r="I49" s="389" t="s">
        <v>192</v>
      </c>
      <c r="J49" s="389" t="s">
        <v>258</v>
      </c>
      <c r="K49" s="389" t="s">
        <v>337</v>
      </c>
      <c r="L49" s="389" t="s">
        <v>173</v>
      </c>
      <c r="M49" s="389"/>
      <c r="N49" s="389"/>
      <c r="O49" s="403">
        <f>ROUNDUP(10+'사양 입력'!$C$14/1000,0)</f>
        <v>61</v>
      </c>
      <c r="P49" s="392"/>
      <c r="Q49" s="393" t="s">
        <v>589</v>
      </c>
      <c r="R49" s="393"/>
      <c r="S49" s="392"/>
      <c r="T49" s="389" t="s">
        <v>339</v>
      </c>
      <c r="U49" s="389" t="s">
        <v>303</v>
      </c>
      <c r="V49" s="389"/>
      <c r="W49" s="389" t="s">
        <v>285</v>
      </c>
      <c r="X49" s="389" t="s">
        <v>642</v>
      </c>
      <c r="Y49" s="394">
        <v>45001.746249999997</v>
      </c>
      <c r="Z49" s="395"/>
      <c r="AA49" s="396"/>
      <c r="AB49" s="397">
        <f>VLOOKUP(D49,원가정보3!E46:I777,5,0)</f>
        <v>3688.3</v>
      </c>
      <c r="AC49" s="397">
        <f t="shared" si="1"/>
        <v>224986.30000000002</v>
      </c>
      <c r="AD49" s="354"/>
    </row>
    <row r="50" spans="1:30" s="4" customFormat="1" outlineLevel="1">
      <c r="A50" s="389" t="s">
        <v>590</v>
      </c>
      <c r="B50" s="389"/>
      <c r="C50" s="390">
        <v>1</v>
      </c>
      <c r="D50" s="390" t="s">
        <v>341</v>
      </c>
      <c r="E50" s="389">
        <v>320</v>
      </c>
      <c r="F50" s="389" t="s">
        <v>189</v>
      </c>
      <c r="G50" s="389" t="s">
        <v>257</v>
      </c>
      <c r="H50" s="389" t="s">
        <v>342</v>
      </c>
      <c r="I50" s="389" t="s">
        <v>192</v>
      </c>
      <c r="J50" s="389" t="s">
        <v>258</v>
      </c>
      <c r="K50" s="389" t="s">
        <v>343</v>
      </c>
      <c r="L50" s="389" t="s">
        <v>173</v>
      </c>
      <c r="M50" s="389"/>
      <c r="N50" s="389"/>
      <c r="O50" s="403">
        <f>ROUNDUP(3.5*'사양 입력'!$C$7,0)</f>
        <v>53</v>
      </c>
      <c r="P50" s="392"/>
      <c r="Q50" s="393" t="s">
        <v>591</v>
      </c>
      <c r="R50" s="393"/>
      <c r="S50" s="392"/>
      <c r="T50" s="389" t="s">
        <v>345</v>
      </c>
      <c r="U50" s="389" t="s">
        <v>234</v>
      </c>
      <c r="V50" s="389"/>
      <c r="W50" s="389" t="s">
        <v>285</v>
      </c>
      <c r="X50" s="389" t="s">
        <v>642</v>
      </c>
      <c r="Y50" s="394">
        <v>45001.746249999997</v>
      </c>
      <c r="Z50" s="395"/>
      <c r="AA50" s="396"/>
      <c r="AB50" s="397">
        <f>VLOOKUP(D50,원가정보3!E47:I778,5,0)</f>
        <v>1019.7</v>
      </c>
      <c r="AC50" s="397">
        <f t="shared" si="1"/>
        <v>54044.100000000006</v>
      </c>
      <c r="AD50" s="354"/>
    </row>
    <row r="51" spans="1:30" s="4" customFormat="1" ht="69.599999999999994" outlineLevel="1">
      <c r="A51" s="389" t="s">
        <v>592</v>
      </c>
      <c r="B51" s="389"/>
      <c r="C51" s="390">
        <v>1</v>
      </c>
      <c r="D51" s="390" t="s">
        <v>347</v>
      </c>
      <c r="E51" s="389">
        <v>330</v>
      </c>
      <c r="F51" s="389" t="s">
        <v>189</v>
      </c>
      <c r="G51" s="389" t="s">
        <v>257</v>
      </c>
      <c r="H51" s="389" t="s">
        <v>348</v>
      </c>
      <c r="I51" s="389" t="s">
        <v>192</v>
      </c>
      <c r="J51" s="389" t="s">
        <v>258</v>
      </c>
      <c r="K51" s="389" t="s">
        <v>349</v>
      </c>
      <c r="L51" s="389" t="s">
        <v>173</v>
      </c>
      <c r="M51" s="389"/>
      <c r="N51" s="389"/>
      <c r="O51" s="403">
        <f>ROUNDUP(2+8+8+0.5*'사양 입력'!$C$7,0)</f>
        <v>26</v>
      </c>
      <c r="P51" s="392"/>
      <c r="Q51" s="393" t="s">
        <v>593</v>
      </c>
      <c r="R51" s="393"/>
      <c r="S51" s="392"/>
      <c r="T51" s="389" t="s">
        <v>351</v>
      </c>
      <c r="U51" s="389" t="s">
        <v>303</v>
      </c>
      <c r="V51" s="389"/>
      <c r="W51" s="389" t="s">
        <v>285</v>
      </c>
      <c r="X51" s="389" t="s">
        <v>642</v>
      </c>
      <c r="Y51" s="394">
        <v>45001.746249999997</v>
      </c>
      <c r="Z51" s="395"/>
      <c r="AA51" s="396"/>
      <c r="AB51" s="397">
        <f>VLOOKUP(D51,원가정보3!E48:I779,5,0)</f>
        <v>774.40000000000009</v>
      </c>
      <c r="AC51" s="397">
        <f t="shared" si="1"/>
        <v>20134.400000000001</v>
      </c>
      <c r="AD51" s="354"/>
    </row>
    <row r="52" spans="1:30" s="4" customFormat="1" outlineLevel="1">
      <c r="A52" s="389" t="s">
        <v>594</v>
      </c>
      <c r="B52" s="389"/>
      <c r="C52" s="390">
        <v>1</v>
      </c>
      <c r="D52" s="458" t="str">
        <f>IF('사양 입력'!$K$13="UTP 내장형","HX00058CH1100",IF('사양 입력'!$K$13="A/C 동력선 내장형","HX00058CH1300","HX00058CH0900"))</f>
        <v>HX00058CH0900</v>
      </c>
      <c r="E52" s="389">
        <v>340</v>
      </c>
      <c r="F52" s="389" t="s">
        <v>189</v>
      </c>
      <c r="G52" s="389" t="s">
        <v>257</v>
      </c>
      <c r="H52" s="389" t="s">
        <v>353</v>
      </c>
      <c r="I52" s="389" t="s">
        <v>192</v>
      </c>
      <c r="J52" s="389" t="s">
        <v>258</v>
      </c>
      <c r="K52" s="389" t="s">
        <v>354</v>
      </c>
      <c r="L52" s="389" t="s">
        <v>173</v>
      </c>
      <c r="M52" s="389"/>
      <c r="N52" s="389"/>
      <c r="O52" s="403">
        <f>ROUNDUP(12+('사양 입력'!$C$11+'사양 입력'!$C$12+'사양 입력'!$C$13*2)/1000,0)</f>
        <v>64</v>
      </c>
      <c r="P52" s="392"/>
      <c r="Q52" s="393" t="s">
        <v>595</v>
      </c>
      <c r="R52" s="393"/>
      <c r="S52" s="392"/>
      <c r="T52" s="389" t="s">
        <v>356</v>
      </c>
      <c r="U52" s="389" t="s">
        <v>357</v>
      </c>
      <c r="V52" s="389"/>
      <c r="W52" s="389" t="s">
        <v>285</v>
      </c>
      <c r="X52" s="389" t="s">
        <v>642</v>
      </c>
      <c r="Y52" s="394">
        <v>45001.746249999997</v>
      </c>
      <c r="Z52" s="395"/>
      <c r="AA52" s="396"/>
      <c r="AB52" s="397">
        <f>VLOOKUP(D52,원가정보3!E49:I780,5,0)</f>
        <v>8928.7000000000007</v>
      </c>
      <c r="AC52" s="397">
        <f t="shared" si="1"/>
        <v>571436.80000000005</v>
      </c>
      <c r="AD52" s="354"/>
    </row>
    <row r="53" spans="1:30" s="4" customFormat="1" outlineLevel="1">
      <c r="A53" s="158"/>
      <c r="B53" s="158"/>
      <c r="C53" s="482">
        <v>1</v>
      </c>
      <c r="D53" s="160" t="str">
        <f>IF('사양 입력'!$K$15="별도형","HX00058CH1200","")</f>
        <v/>
      </c>
      <c r="E53" s="483">
        <v>840</v>
      </c>
      <c r="F53" s="483">
        <v>2</v>
      </c>
      <c r="G53" s="483" t="s">
        <v>2445</v>
      </c>
      <c r="H53" s="483"/>
      <c r="I53" s="158" t="s">
        <v>192</v>
      </c>
      <c r="J53" s="158" t="s">
        <v>258</v>
      </c>
      <c r="K53" s="483" t="s">
        <v>354</v>
      </c>
      <c r="L53" s="483" t="s">
        <v>202</v>
      </c>
      <c r="M53" s="483"/>
      <c r="N53" s="483"/>
      <c r="O53" s="166">
        <f>ROUNDUP(12+('사양 입력'!$C$11+'사양 입력'!$C$12+'사양 입력'!$C$13*2)/1000,0)</f>
        <v>64</v>
      </c>
      <c r="P53" s="484"/>
      <c r="Q53" s="485" t="s">
        <v>2446</v>
      </c>
      <c r="R53" s="485"/>
      <c r="S53" s="484"/>
      <c r="T53" s="483" t="s">
        <v>2444</v>
      </c>
      <c r="U53" s="158" t="s">
        <v>357</v>
      </c>
      <c r="V53" s="158"/>
      <c r="W53" s="158" t="s">
        <v>362</v>
      </c>
      <c r="X53" s="158"/>
      <c r="Y53" s="164"/>
      <c r="Z53" s="165"/>
      <c r="AA53" s="181"/>
      <c r="AB53" s="184">
        <f>IFERROR(VLOOKUP(D53,원가정보3!$E$5:$I$1048576,5,0),0)</f>
        <v>0</v>
      </c>
      <c r="AC53" s="184">
        <f t="shared" si="1"/>
        <v>0</v>
      </c>
      <c r="AD53" s="3"/>
    </row>
    <row r="54" spans="1:30" s="4" customFormat="1" outlineLevel="1">
      <c r="A54" s="158"/>
      <c r="B54" s="158"/>
      <c r="C54" s="333">
        <v>1</v>
      </c>
      <c r="D54" s="334" t="str">
        <f>IF(OR('사양 입력'!K14="RG59",'사양 입력'!K14="RG59+CLIP"),"HX058019H0100",IF(OR('사양 입력'!K14="UTP",'사양 입력'!K14="UTP+CLIP"),"R62100000210A",""))</f>
        <v/>
      </c>
      <c r="E54" s="335">
        <v>340</v>
      </c>
      <c r="F54" s="335" t="s">
        <v>189</v>
      </c>
      <c r="G54" s="335" t="s">
        <v>596</v>
      </c>
      <c r="H54" s="335" t="s">
        <v>359</v>
      </c>
      <c r="I54" s="335" t="s">
        <v>192</v>
      </c>
      <c r="J54" s="335" t="s">
        <v>258</v>
      </c>
      <c r="K54" s="335" t="s">
        <v>360</v>
      </c>
      <c r="L54" s="335" t="s">
        <v>202</v>
      </c>
      <c r="M54" s="335"/>
      <c r="N54" s="335"/>
      <c r="O54" s="340" t="str">
        <f>IF(OR('사양 입력'!K14="RG59",'사양 입력'!K14="RG59+CLIP",'사양 입력'!K14="UTP+CLIP",'사양 입력'!K14="RG59",'사양 입력'!K14="UTP"),ROUNDUP(('사양 입력'!$C$14+3000)/1000,0),"0")</f>
        <v>0</v>
      </c>
      <c r="P54" s="336"/>
      <c r="Q54" s="337" t="s">
        <v>597</v>
      </c>
      <c r="R54" s="337"/>
      <c r="S54" s="336"/>
      <c r="T54" s="335" t="s">
        <v>113</v>
      </c>
      <c r="U54" s="158"/>
      <c r="V54" s="158"/>
      <c r="W54" s="158"/>
      <c r="X54" s="158" t="s">
        <v>224</v>
      </c>
      <c r="Y54" s="158"/>
      <c r="Z54" s="184"/>
      <c r="AA54" s="184"/>
      <c r="AB54" s="184">
        <f>IFERROR(VLOOKUP(D54,원가정보3!$E$5:$I$1048576,5,0),0)</f>
        <v>0</v>
      </c>
      <c r="AC54" s="184">
        <f>AB54*O54</f>
        <v>0</v>
      </c>
      <c r="AD54" s="3" t="s">
        <v>225</v>
      </c>
    </row>
    <row r="55" spans="1:30" s="4" customFormat="1" outlineLevel="1">
      <c r="A55" s="158"/>
      <c r="B55" s="158"/>
      <c r="C55" s="333">
        <v>1</v>
      </c>
      <c r="D55" s="338" t="s">
        <v>364</v>
      </c>
      <c r="E55" s="335">
        <v>650</v>
      </c>
      <c r="F55" s="335" t="s">
        <v>189</v>
      </c>
      <c r="G55" s="335" t="s">
        <v>365</v>
      </c>
      <c r="H55" s="335" t="s">
        <v>366</v>
      </c>
      <c r="I55" s="335" t="s">
        <v>192</v>
      </c>
      <c r="J55" s="335" t="s">
        <v>258</v>
      </c>
      <c r="K55" s="335" t="s">
        <v>367</v>
      </c>
      <c r="L55" s="335" t="s">
        <v>202</v>
      </c>
      <c r="M55" s="335"/>
      <c r="N55" s="335"/>
      <c r="O55" s="340" t="str">
        <f>IF('사양 입력'!K14="RG59+CLIP",ROUNDUP((('사양 입력'!$C$13*2+'사양 입력'!$C$12/2)/1000)/0.45,0),IF('사양 입력'!K14="UTP+CLIP",ROUNDUP((('사양 입력'!$C$13*2+'사양 입력'!$C$12/2)/1000)/0.45,0),"0"))</f>
        <v>0</v>
      </c>
      <c r="P55" s="336"/>
      <c r="Q55" s="337"/>
      <c r="R55" s="337"/>
      <c r="S55" s="336"/>
      <c r="T55" s="335" t="s">
        <v>368</v>
      </c>
      <c r="U55" s="158"/>
      <c r="V55" s="158"/>
      <c r="W55" s="158"/>
      <c r="X55" s="158" t="s">
        <v>224</v>
      </c>
      <c r="Y55" s="158"/>
      <c r="Z55" s="184"/>
      <c r="AA55" s="184"/>
      <c r="AB55" s="184">
        <f>IFERROR(VLOOKUP(D55,원가정보3!$E$5:$I$1048576,5,0),0)</f>
        <v>541.20000000000005</v>
      </c>
      <c r="AC55" s="184">
        <f>AB55*O55</f>
        <v>0</v>
      </c>
      <c r="AD55" s="3" t="s">
        <v>225</v>
      </c>
    </row>
    <row r="56" spans="1:30" s="4" customFormat="1" outlineLevel="1">
      <c r="A56" s="404"/>
      <c r="B56" s="404"/>
      <c r="C56" s="406">
        <v>1</v>
      </c>
      <c r="D56" s="464" t="s">
        <v>689</v>
      </c>
      <c r="E56" s="404"/>
      <c r="F56" s="404"/>
      <c r="G56" s="404" t="s">
        <v>690</v>
      </c>
      <c r="H56" s="404" t="s">
        <v>691</v>
      </c>
      <c r="I56" s="404" t="s">
        <v>692</v>
      </c>
      <c r="J56" s="404"/>
      <c r="K56" s="404"/>
      <c r="L56" s="404"/>
      <c r="M56" s="404"/>
      <c r="N56" s="404"/>
      <c r="O56" s="407">
        <f>'사양 입력'!K10</f>
        <v>0</v>
      </c>
      <c r="P56" s="408"/>
      <c r="Q56" s="409" t="s">
        <v>693</v>
      </c>
      <c r="R56" s="409"/>
      <c r="S56" s="408"/>
      <c r="T56" s="404" t="s">
        <v>694</v>
      </c>
      <c r="U56" s="404"/>
      <c r="V56" s="404"/>
      <c r="W56" s="404" t="s">
        <v>695</v>
      </c>
      <c r="X56" s="404" t="s">
        <v>642</v>
      </c>
      <c r="Y56" s="410"/>
      <c r="Z56" s="411"/>
      <c r="AA56" s="412"/>
      <c r="AB56" s="405">
        <f>VLOOKUP(D56,원가정보3!E52:I783,5,0)</f>
        <v>24491</v>
      </c>
      <c r="AC56" s="405">
        <f t="shared" si="1"/>
        <v>0</v>
      </c>
      <c r="AD56" s="354"/>
    </row>
    <row r="57" spans="1:30" s="4" customFormat="1" outlineLevel="1">
      <c r="A57" s="379" t="s">
        <v>598</v>
      </c>
      <c r="B57" s="379"/>
      <c r="C57" s="380">
        <v>1</v>
      </c>
      <c r="D57" s="380" t="s">
        <v>377</v>
      </c>
      <c r="E57" s="379">
        <v>360</v>
      </c>
      <c r="F57" s="379" t="s">
        <v>189</v>
      </c>
      <c r="G57" s="379" t="s">
        <v>378</v>
      </c>
      <c r="H57" s="379" t="s">
        <v>379</v>
      </c>
      <c r="I57" s="379" t="s">
        <v>192</v>
      </c>
      <c r="J57" s="379" t="s">
        <v>193</v>
      </c>
      <c r="K57" s="379" t="s">
        <v>380</v>
      </c>
      <c r="L57" s="379" t="s">
        <v>173</v>
      </c>
      <c r="M57" s="379"/>
      <c r="N57" s="379"/>
      <c r="O57" s="382">
        <v>1</v>
      </c>
      <c r="P57" s="382"/>
      <c r="Q57" s="383"/>
      <c r="R57" s="383"/>
      <c r="S57" s="382"/>
      <c r="T57" s="379" t="s">
        <v>381</v>
      </c>
      <c r="U57" s="379" t="s">
        <v>382</v>
      </c>
      <c r="V57" s="379"/>
      <c r="W57" s="379" t="s">
        <v>197</v>
      </c>
      <c r="X57" s="379" t="s">
        <v>642</v>
      </c>
      <c r="Y57" s="384">
        <v>45001.746249999997</v>
      </c>
      <c r="Z57" s="385"/>
      <c r="AA57" s="386"/>
      <c r="AB57" s="353">
        <f>VLOOKUP(D57,원가정보3!E53:I784,5,0)</f>
        <v>75522</v>
      </c>
      <c r="AC57" s="353">
        <f t="shared" si="1"/>
        <v>75522</v>
      </c>
      <c r="AD57" s="354"/>
    </row>
    <row r="58" spans="1:30" s="4" customFormat="1" outlineLevel="1">
      <c r="A58" s="379" t="s">
        <v>599</v>
      </c>
      <c r="B58" s="379"/>
      <c r="C58" s="380">
        <v>1</v>
      </c>
      <c r="D58" s="380" t="s">
        <v>696</v>
      </c>
      <c r="E58" s="379">
        <v>370</v>
      </c>
      <c r="F58" s="379" t="s">
        <v>189</v>
      </c>
      <c r="G58" s="379" t="s">
        <v>385</v>
      </c>
      <c r="H58" s="379" t="s">
        <v>386</v>
      </c>
      <c r="I58" s="379" t="s">
        <v>192</v>
      </c>
      <c r="J58" s="379" t="s">
        <v>193</v>
      </c>
      <c r="K58" s="379" t="s">
        <v>387</v>
      </c>
      <c r="L58" s="379" t="s">
        <v>173</v>
      </c>
      <c r="M58" s="379"/>
      <c r="N58" s="379"/>
      <c r="O58" s="382">
        <v>2</v>
      </c>
      <c r="P58" s="382"/>
      <c r="Q58" s="383"/>
      <c r="R58" s="383"/>
      <c r="S58" s="382"/>
      <c r="T58" s="379" t="s">
        <v>388</v>
      </c>
      <c r="U58" s="379" t="s">
        <v>389</v>
      </c>
      <c r="V58" s="379"/>
      <c r="W58" s="379" t="s">
        <v>197</v>
      </c>
      <c r="X58" s="379" t="s">
        <v>642</v>
      </c>
      <c r="Y58" s="384">
        <v>45001.746249999997</v>
      </c>
      <c r="Z58" s="385"/>
      <c r="AA58" s="386"/>
      <c r="AB58" s="353">
        <f>VLOOKUP(D58,원가정보3!E54:I785,5,0)</f>
        <v>669.90000000000009</v>
      </c>
      <c r="AC58" s="353">
        <f t="shared" si="1"/>
        <v>1339.8000000000002</v>
      </c>
      <c r="AD58" s="354"/>
    </row>
    <row r="59" spans="1:30" s="4" customFormat="1" outlineLevel="1">
      <c r="A59" s="379" t="s">
        <v>601</v>
      </c>
      <c r="B59" s="379"/>
      <c r="C59" s="380">
        <v>1</v>
      </c>
      <c r="D59" s="380" t="s">
        <v>391</v>
      </c>
      <c r="E59" s="379">
        <v>380</v>
      </c>
      <c r="F59" s="379" t="s">
        <v>189</v>
      </c>
      <c r="G59" s="379" t="s">
        <v>392</v>
      </c>
      <c r="H59" s="379" t="s">
        <v>393</v>
      </c>
      <c r="I59" s="379" t="s">
        <v>192</v>
      </c>
      <c r="J59" s="379" t="s">
        <v>193</v>
      </c>
      <c r="K59" s="379" t="s">
        <v>394</v>
      </c>
      <c r="L59" s="379" t="s">
        <v>173</v>
      </c>
      <c r="M59" s="379"/>
      <c r="N59" s="379"/>
      <c r="O59" s="382">
        <v>1</v>
      </c>
      <c r="P59" s="382"/>
      <c r="Q59" s="383"/>
      <c r="R59" s="383"/>
      <c r="S59" s="382"/>
      <c r="T59" s="379" t="s">
        <v>395</v>
      </c>
      <c r="U59" s="379" t="s">
        <v>396</v>
      </c>
      <c r="V59" s="379"/>
      <c r="W59" s="379" t="s">
        <v>197</v>
      </c>
      <c r="X59" s="379" t="s">
        <v>642</v>
      </c>
      <c r="Y59" s="384">
        <v>45001.746249999997</v>
      </c>
      <c r="Z59" s="385"/>
      <c r="AA59" s="386"/>
      <c r="AB59" s="353">
        <f>VLOOKUP(D59,원가정보3!E55:I786,5,0)</f>
        <v>20097</v>
      </c>
      <c r="AC59" s="353">
        <f t="shared" si="1"/>
        <v>20097</v>
      </c>
      <c r="AD59" s="354"/>
    </row>
    <row r="60" spans="1:30" s="4" customFormat="1" outlineLevel="1">
      <c r="A60" s="379" t="s">
        <v>397</v>
      </c>
      <c r="B60" s="379"/>
      <c r="C60" s="380">
        <v>1</v>
      </c>
      <c r="D60" s="380" t="s">
        <v>697</v>
      </c>
      <c r="E60" s="379">
        <v>1790</v>
      </c>
      <c r="F60" s="379" t="s">
        <v>189</v>
      </c>
      <c r="G60" s="379" t="s">
        <v>399</v>
      </c>
      <c r="H60" s="379" t="s">
        <v>400</v>
      </c>
      <c r="I60" s="379" t="s">
        <v>192</v>
      </c>
      <c r="J60" s="379" t="s">
        <v>401</v>
      </c>
      <c r="K60" s="379" t="s">
        <v>402</v>
      </c>
      <c r="L60" s="379" t="s">
        <v>173</v>
      </c>
      <c r="M60" s="379"/>
      <c r="N60" s="379"/>
      <c r="O60" s="382">
        <v>1</v>
      </c>
      <c r="P60" s="382"/>
      <c r="Q60" s="383"/>
      <c r="R60" s="383"/>
      <c r="S60" s="382"/>
      <c r="T60" s="379" t="s">
        <v>403</v>
      </c>
      <c r="U60" s="379" t="s">
        <v>404</v>
      </c>
      <c r="V60" s="379"/>
      <c r="W60" s="379" t="s">
        <v>197</v>
      </c>
      <c r="X60" s="379" t="s">
        <v>642</v>
      </c>
      <c r="Y60" s="379"/>
      <c r="Z60" s="353"/>
      <c r="AA60" s="353"/>
      <c r="AB60" s="353">
        <f>VLOOKUP(D60,원가정보3!E56:I787,5,0)</f>
        <v>6922.3</v>
      </c>
      <c r="AC60" s="353">
        <f t="shared" si="1"/>
        <v>6922.3</v>
      </c>
      <c r="AD60" s="413"/>
    </row>
    <row r="61" spans="1:30" s="4" customFormat="1" outlineLevel="1">
      <c r="A61" s="379" t="s">
        <v>602</v>
      </c>
      <c r="B61" s="379"/>
      <c r="C61" s="380">
        <v>1</v>
      </c>
      <c r="D61" s="380" t="s">
        <v>406</v>
      </c>
      <c r="E61" s="379">
        <v>390</v>
      </c>
      <c r="F61" s="379" t="s">
        <v>189</v>
      </c>
      <c r="G61" s="379" t="s">
        <v>407</v>
      </c>
      <c r="H61" s="379" t="s">
        <v>408</v>
      </c>
      <c r="I61" s="379" t="s">
        <v>192</v>
      </c>
      <c r="J61" s="379" t="s">
        <v>401</v>
      </c>
      <c r="K61" s="379" t="s">
        <v>402</v>
      </c>
      <c r="L61" s="379" t="s">
        <v>173</v>
      </c>
      <c r="M61" s="379"/>
      <c r="N61" s="379"/>
      <c r="O61" s="382">
        <v>1</v>
      </c>
      <c r="P61" s="382"/>
      <c r="Q61" s="383"/>
      <c r="R61" s="383"/>
      <c r="S61" s="382"/>
      <c r="T61" s="379" t="s">
        <v>409</v>
      </c>
      <c r="U61" s="379" t="s">
        <v>410</v>
      </c>
      <c r="V61" s="379"/>
      <c r="W61" s="379" t="s">
        <v>197</v>
      </c>
      <c r="X61" s="379" t="s">
        <v>642</v>
      </c>
      <c r="Y61" s="384">
        <v>45001.746249999997</v>
      </c>
      <c r="Z61" s="385"/>
      <c r="AA61" s="386"/>
      <c r="AB61" s="353">
        <f>VLOOKUP(D61,원가정보3!E57:I788,5,0)</f>
        <v>6140.2000000000007</v>
      </c>
      <c r="AC61" s="353">
        <f t="shared" si="1"/>
        <v>6140.2000000000007</v>
      </c>
      <c r="AD61" s="354"/>
    </row>
    <row r="62" spans="1:30" s="4" customFormat="1" outlineLevel="1">
      <c r="A62" s="379" t="s">
        <v>603</v>
      </c>
      <c r="B62" s="379"/>
      <c r="C62" s="380">
        <v>1</v>
      </c>
      <c r="D62" s="380" t="s">
        <v>412</v>
      </c>
      <c r="E62" s="379">
        <v>400</v>
      </c>
      <c r="F62" s="379" t="s">
        <v>189</v>
      </c>
      <c r="G62" s="379" t="s">
        <v>413</v>
      </c>
      <c r="H62" s="379" t="s">
        <v>414</v>
      </c>
      <c r="I62" s="379" t="s">
        <v>192</v>
      </c>
      <c r="J62" s="379" t="s">
        <v>193</v>
      </c>
      <c r="K62" s="379" t="s">
        <v>415</v>
      </c>
      <c r="L62" s="379" t="s">
        <v>173</v>
      </c>
      <c r="M62" s="379"/>
      <c r="N62" s="379"/>
      <c r="O62" s="382">
        <v>1</v>
      </c>
      <c r="P62" s="382"/>
      <c r="Q62" s="383"/>
      <c r="R62" s="383"/>
      <c r="S62" s="382"/>
      <c r="T62" s="379" t="s">
        <v>416</v>
      </c>
      <c r="U62" s="379" t="s">
        <v>417</v>
      </c>
      <c r="V62" s="379"/>
      <c r="W62" s="379" t="s">
        <v>197</v>
      </c>
      <c r="X62" s="379" t="s">
        <v>642</v>
      </c>
      <c r="Y62" s="384">
        <v>45001.746249999997</v>
      </c>
      <c r="Z62" s="385"/>
      <c r="AA62" s="386"/>
      <c r="AB62" s="353">
        <f>VLOOKUP(D62,원가정보3!E58:I789,5,0)</f>
        <v>12002.1</v>
      </c>
      <c r="AC62" s="353">
        <f t="shared" si="1"/>
        <v>12002.1</v>
      </c>
      <c r="AD62" s="354"/>
    </row>
    <row r="63" spans="1:30" s="4" customFormat="1" outlineLevel="1">
      <c r="A63" s="379" t="s">
        <v>604</v>
      </c>
      <c r="B63" s="379"/>
      <c r="C63" s="380">
        <v>1</v>
      </c>
      <c r="D63" s="380" t="s">
        <v>419</v>
      </c>
      <c r="E63" s="379">
        <v>410</v>
      </c>
      <c r="F63" s="379" t="s">
        <v>189</v>
      </c>
      <c r="G63" s="379" t="s">
        <v>399</v>
      </c>
      <c r="H63" s="379" t="s">
        <v>420</v>
      </c>
      <c r="I63" s="379" t="s">
        <v>192</v>
      </c>
      <c r="J63" s="379" t="s">
        <v>193</v>
      </c>
      <c r="K63" s="379" t="s">
        <v>421</v>
      </c>
      <c r="L63" s="379" t="s">
        <v>173</v>
      </c>
      <c r="M63" s="379"/>
      <c r="N63" s="379"/>
      <c r="O63" s="382">
        <v>1</v>
      </c>
      <c r="P63" s="382"/>
      <c r="Q63" s="383"/>
      <c r="R63" s="383"/>
      <c r="S63" s="382"/>
      <c r="T63" s="379" t="s">
        <v>416</v>
      </c>
      <c r="U63" s="379" t="s">
        <v>422</v>
      </c>
      <c r="V63" s="379"/>
      <c r="W63" s="379" t="s">
        <v>197</v>
      </c>
      <c r="X63" s="379" t="s">
        <v>642</v>
      </c>
      <c r="Y63" s="384">
        <v>45001.746249999997</v>
      </c>
      <c r="Z63" s="385"/>
      <c r="AA63" s="386"/>
      <c r="AB63" s="353">
        <f>VLOOKUP(D63,원가정보3!E59:I790,5,0)</f>
        <v>11499.400000000001</v>
      </c>
      <c r="AC63" s="353">
        <f t="shared" si="1"/>
        <v>11499.400000000001</v>
      </c>
      <c r="AD63" s="354"/>
    </row>
    <row r="64" spans="1:30" s="4" customFormat="1" outlineLevel="1">
      <c r="A64" s="379" t="s">
        <v>605</v>
      </c>
      <c r="B64" s="379"/>
      <c r="C64" s="380">
        <v>1</v>
      </c>
      <c r="D64" s="380" t="s">
        <v>424</v>
      </c>
      <c r="E64" s="379">
        <v>420</v>
      </c>
      <c r="F64" s="379" t="s">
        <v>189</v>
      </c>
      <c r="G64" s="379" t="s">
        <v>413</v>
      </c>
      <c r="H64" s="379" t="s">
        <v>425</v>
      </c>
      <c r="I64" s="379" t="s">
        <v>192</v>
      </c>
      <c r="J64" s="379" t="s">
        <v>193</v>
      </c>
      <c r="K64" s="379" t="s">
        <v>426</v>
      </c>
      <c r="L64" s="379" t="s">
        <v>173</v>
      </c>
      <c r="M64" s="379"/>
      <c r="N64" s="379"/>
      <c r="O64" s="382">
        <v>2</v>
      </c>
      <c r="P64" s="382"/>
      <c r="Q64" s="383"/>
      <c r="R64" s="383"/>
      <c r="S64" s="382"/>
      <c r="T64" s="379" t="s">
        <v>416</v>
      </c>
      <c r="U64" s="379" t="s">
        <v>427</v>
      </c>
      <c r="V64" s="379"/>
      <c r="W64" s="379" t="s">
        <v>197</v>
      </c>
      <c r="X64" s="379" t="s">
        <v>642</v>
      </c>
      <c r="Y64" s="384">
        <v>45001.746249999997</v>
      </c>
      <c r="Z64" s="385"/>
      <c r="AA64" s="386"/>
      <c r="AB64" s="353">
        <f>VLOOKUP(D64,원가정보3!E60:I791,5,0)</f>
        <v>12225.400000000001</v>
      </c>
      <c r="AC64" s="353">
        <f t="shared" si="1"/>
        <v>24450.800000000003</v>
      </c>
      <c r="AD64" s="354"/>
    </row>
    <row r="65" spans="1:30" s="4" customFormat="1" outlineLevel="1">
      <c r="A65" s="379" t="s">
        <v>606</v>
      </c>
      <c r="B65" s="379"/>
      <c r="C65" s="380">
        <v>1</v>
      </c>
      <c r="D65" s="380" t="s">
        <v>607</v>
      </c>
      <c r="E65" s="379">
        <v>430</v>
      </c>
      <c r="F65" s="379" t="s">
        <v>189</v>
      </c>
      <c r="G65" s="379" t="s">
        <v>413</v>
      </c>
      <c r="H65" s="379" t="s">
        <v>430</v>
      </c>
      <c r="I65" s="379" t="s">
        <v>192</v>
      </c>
      <c r="J65" s="379" t="s">
        <v>193</v>
      </c>
      <c r="K65" s="379" t="s">
        <v>431</v>
      </c>
      <c r="L65" s="379" t="s">
        <v>173</v>
      </c>
      <c r="M65" s="379"/>
      <c r="N65" s="379"/>
      <c r="O65" s="388">
        <f>ROUNDUP('사양 입력'!$C$14/5000,0)</f>
        <v>11</v>
      </c>
      <c r="P65" s="382"/>
      <c r="Q65" s="383"/>
      <c r="R65" s="383"/>
      <c r="S65" s="382"/>
      <c r="T65" s="379" t="s">
        <v>416</v>
      </c>
      <c r="U65" s="379" t="s">
        <v>432</v>
      </c>
      <c r="V65" s="379"/>
      <c r="W65" s="379" t="s">
        <v>197</v>
      </c>
      <c r="X65" s="379" t="s">
        <v>642</v>
      </c>
      <c r="Y65" s="384">
        <v>45001.746249999997</v>
      </c>
      <c r="Z65" s="385"/>
      <c r="AA65" s="386"/>
      <c r="AB65" s="353">
        <f>VLOOKUP(D65,원가정보3!E61:I792,5,0)</f>
        <v>12225.400000000001</v>
      </c>
      <c r="AC65" s="353">
        <f t="shared" si="1"/>
        <v>134479.40000000002</v>
      </c>
      <c r="AD65" s="354"/>
    </row>
    <row r="66" spans="1:30" s="4" customFormat="1" outlineLevel="1">
      <c r="A66" s="379" t="s">
        <v>608</v>
      </c>
      <c r="B66" s="379"/>
      <c r="C66" s="380">
        <v>1</v>
      </c>
      <c r="D66" s="380" t="s">
        <v>434</v>
      </c>
      <c r="E66" s="379">
        <v>440</v>
      </c>
      <c r="F66" s="379" t="s">
        <v>189</v>
      </c>
      <c r="G66" s="379" t="s">
        <v>435</v>
      </c>
      <c r="H66" s="379" t="s">
        <v>436</v>
      </c>
      <c r="I66" s="379" t="s">
        <v>192</v>
      </c>
      <c r="J66" s="379" t="s">
        <v>193</v>
      </c>
      <c r="K66" s="379" t="s">
        <v>437</v>
      </c>
      <c r="L66" s="379" t="s">
        <v>173</v>
      </c>
      <c r="M66" s="379"/>
      <c r="N66" s="379"/>
      <c r="O66" s="382">
        <v>1</v>
      </c>
      <c r="P66" s="382"/>
      <c r="Q66" s="383"/>
      <c r="R66" s="383"/>
      <c r="S66" s="382"/>
      <c r="T66" s="379" t="s">
        <v>438</v>
      </c>
      <c r="U66" s="379" t="s">
        <v>234</v>
      </c>
      <c r="V66" s="379"/>
      <c r="W66" s="379" t="s">
        <v>197</v>
      </c>
      <c r="X66" s="379" t="s">
        <v>642</v>
      </c>
      <c r="Y66" s="384">
        <v>45001.746249999997</v>
      </c>
      <c r="Z66" s="385"/>
      <c r="AA66" s="386"/>
      <c r="AB66" s="353">
        <f>VLOOKUP(D66,원가정보3!E62:I793,5,0)</f>
        <v>22330</v>
      </c>
      <c r="AC66" s="353">
        <f t="shared" si="1"/>
        <v>22330</v>
      </c>
      <c r="AD66" s="354"/>
    </row>
    <row r="67" spans="1:30" s="4" customFormat="1" outlineLevel="1">
      <c r="A67" s="414" t="s">
        <v>439</v>
      </c>
      <c r="B67" s="414"/>
      <c r="C67" s="415">
        <v>1</v>
      </c>
      <c r="D67" s="465" t="str">
        <f>IF('사양 입력'!$G$9="NO","28610048G0200","28610053G0200")</f>
        <v>28610048G0200</v>
      </c>
      <c r="E67" s="414">
        <v>2070</v>
      </c>
      <c r="F67" s="414" t="s">
        <v>189</v>
      </c>
      <c r="G67" s="414" t="s">
        <v>440</v>
      </c>
      <c r="H67" s="416" t="str">
        <f>LEFT(D67,11)</f>
        <v>28610048G02</v>
      </c>
      <c r="I67" s="414" t="s">
        <v>192</v>
      </c>
      <c r="J67" s="414" t="s">
        <v>193</v>
      </c>
      <c r="K67" s="414" t="s">
        <v>441</v>
      </c>
      <c r="L67" s="414" t="s">
        <v>173</v>
      </c>
      <c r="M67" s="414"/>
      <c r="N67" s="414"/>
      <c r="O67" s="417">
        <v>1</v>
      </c>
      <c r="P67" s="417"/>
      <c r="Q67" s="418"/>
      <c r="R67" s="418"/>
      <c r="S67" s="417"/>
      <c r="T67" s="414" t="s">
        <v>698</v>
      </c>
      <c r="U67" s="414" t="s">
        <v>443</v>
      </c>
      <c r="V67" s="414"/>
      <c r="W67" s="414" t="s">
        <v>197</v>
      </c>
      <c r="X67" s="414" t="s">
        <v>642</v>
      </c>
      <c r="Y67" s="419">
        <v>44964.611458333333</v>
      </c>
      <c r="Z67" s="420"/>
      <c r="AA67" s="421"/>
      <c r="AB67" s="422">
        <f>VLOOKUP(D67,원가정보3!E63:I794,5,0)</f>
        <v>358061</v>
      </c>
      <c r="AC67" s="422">
        <f t="shared" si="1"/>
        <v>358061</v>
      </c>
      <c r="AD67" s="413"/>
    </row>
    <row r="68" spans="1:30" s="4" customFormat="1" outlineLevel="1">
      <c r="A68" s="379"/>
      <c r="B68" s="379"/>
      <c r="C68" s="380"/>
      <c r="D68" s="456" t="str">
        <f>IF('사양 입력'!$G$9="NO","28610048G0200","28610053G0200")</f>
        <v>28610048G0200</v>
      </c>
      <c r="E68" s="369"/>
      <c r="F68" s="369"/>
      <c r="G68" s="369" t="s">
        <v>699</v>
      </c>
      <c r="H68" s="369" t="s">
        <v>700</v>
      </c>
      <c r="I68" s="369"/>
      <c r="J68" s="369"/>
      <c r="K68" s="369"/>
      <c r="L68" s="369"/>
      <c r="M68" s="369"/>
      <c r="N68" s="369"/>
      <c r="O68" s="423">
        <v>0</v>
      </c>
      <c r="P68" s="382"/>
      <c r="Q68" s="383"/>
      <c r="R68" s="383"/>
      <c r="S68" s="382"/>
      <c r="T68" s="379"/>
      <c r="U68" s="379"/>
      <c r="V68" s="379"/>
      <c r="W68" s="379"/>
      <c r="X68" s="379" t="s">
        <v>642</v>
      </c>
      <c r="Y68" s="384"/>
      <c r="Z68" s="385"/>
      <c r="AA68" s="386"/>
      <c r="AB68" s="353">
        <f>VLOOKUP(D68,원가정보3!E64:I795,5,0)</f>
        <v>358061</v>
      </c>
      <c r="AC68" s="353">
        <f t="shared" si="1"/>
        <v>0</v>
      </c>
      <c r="AD68" s="354"/>
    </row>
    <row r="69" spans="1:30">
      <c r="A69" s="424"/>
      <c r="B69" s="424"/>
      <c r="C69" s="424"/>
      <c r="D69" s="380" t="s">
        <v>701</v>
      </c>
      <c r="E69" s="424"/>
      <c r="F69" s="424"/>
      <c r="G69" s="379" t="s">
        <v>702</v>
      </c>
      <c r="H69" s="425" t="str">
        <f>LEFT(D69,11)</f>
        <v>25910179G01</v>
      </c>
      <c r="I69" s="424"/>
      <c r="J69" s="424"/>
      <c r="K69" s="424"/>
      <c r="L69" s="379" t="s">
        <v>173</v>
      </c>
      <c r="M69" s="424"/>
      <c r="N69" s="424"/>
      <c r="O69" s="426">
        <f>'사양 입력'!$C$7</f>
        <v>15</v>
      </c>
      <c r="P69" s="424"/>
      <c r="Q69" s="424"/>
      <c r="R69" s="424"/>
      <c r="S69" s="424"/>
      <c r="T69" s="424"/>
      <c r="U69" s="424"/>
      <c r="V69" s="424"/>
      <c r="W69" s="424"/>
      <c r="X69" s="424" t="s">
        <v>642</v>
      </c>
      <c r="Y69" s="424"/>
      <c r="Z69" s="424"/>
      <c r="AA69" s="427"/>
      <c r="AB69" s="353">
        <f>VLOOKUP(D69,원가정보3!E65:I796,5,0)</f>
        <v>6956.4000000000005</v>
      </c>
      <c r="AC69" s="353">
        <f t="shared" si="1"/>
        <v>104346.00000000001</v>
      </c>
      <c r="AD69" s="428"/>
    </row>
    <row r="70" spans="1:30">
      <c r="A70" s="424"/>
      <c r="B70" s="424"/>
      <c r="C70" s="424"/>
      <c r="D70" s="380" t="s">
        <v>703</v>
      </c>
      <c r="E70" s="424"/>
      <c r="F70" s="424"/>
      <c r="G70" s="379" t="s">
        <v>704</v>
      </c>
      <c r="H70" s="425" t="str">
        <f>LEFT(D70,11)</f>
        <v>25910180G02</v>
      </c>
      <c r="I70" s="424"/>
      <c r="J70" s="424"/>
      <c r="K70" s="424"/>
      <c r="L70" s="379" t="s">
        <v>173</v>
      </c>
      <c r="M70" s="424"/>
      <c r="N70" s="424"/>
      <c r="O70" s="382">
        <v>1</v>
      </c>
      <c r="P70" s="424"/>
      <c r="Q70" s="424"/>
      <c r="R70" s="424"/>
      <c r="S70" s="424"/>
      <c r="T70" s="424"/>
      <c r="U70" s="424"/>
      <c r="V70" s="424"/>
      <c r="W70" s="424"/>
      <c r="X70" s="424" t="s">
        <v>642</v>
      </c>
      <c r="Y70" s="424"/>
      <c r="Z70" s="424"/>
      <c r="AA70" s="427"/>
      <c r="AB70" s="353">
        <f>VLOOKUP(D70,원가정보3!E66:I797,5,0)</f>
        <v>41310.5</v>
      </c>
      <c r="AC70" s="353">
        <f t="shared" si="1"/>
        <v>41310.5</v>
      </c>
      <c r="AD70" s="428"/>
    </row>
    <row r="71" spans="1:30" s="4" customFormat="1" outlineLevel="1">
      <c r="A71" s="379" t="s">
        <v>451</v>
      </c>
      <c r="B71" s="379"/>
      <c r="C71" s="380">
        <v>1</v>
      </c>
      <c r="D71" s="380" t="s">
        <v>705</v>
      </c>
      <c r="E71" s="379">
        <v>440</v>
      </c>
      <c r="F71" s="379" t="s">
        <v>189</v>
      </c>
      <c r="G71" s="379" t="s">
        <v>611</v>
      </c>
      <c r="H71" s="379" t="s">
        <v>454</v>
      </c>
      <c r="I71" s="379" t="s">
        <v>192</v>
      </c>
      <c r="J71" s="379" t="s">
        <v>193</v>
      </c>
      <c r="K71" s="379" t="s">
        <v>455</v>
      </c>
      <c r="L71" s="379" t="s">
        <v>173</v>
      </c>
      <c r="M71" s="379"/>
      <c r="N71" s="379">
        <v>1</v>
      </c>
      <c r="O71" s="382">
        <v>1</v>
      </c>
      <c r="P71" s="382"/>
      <c r="Q71" s="383"/>
      <c r="R71" s="383"/>
      <c r="S71" s="382"/>
      <c r="T71" s="379" t="s">
        <v>456</v>
      </c>
      <c r="U71" s="379" t="s">
        <v>706</v>
      </c>
      <c r="V71" s="379"/>
      <c r="W71" s="379" t="s">
        <v>197</v>
      </c>
      <c r="X71" s="379" t="s">
        <v>642</v>
      </c>
      <c r="Y71" s="384">
        <v>45002.580694444441</v>
      </c>
      <c r="Z71" s="384">
        <v>45002.580694444441</v>
      </c>
      <c r="AA71" s="386"/>
      <c r="AB71" s="353">
        <f>VLOOKUP(D71,원가정보3!E67:I798,5,0)</f>
        <v>21274</v>
      </c>
      <c r="AC71" s="353">
        <f t="shared" si="1"/>
        <v>21274</v>
      </c>
      <c r="AD71" s="354"/>
    </row>
    <row r="72" spans="1:30" s="4" customFormat="1" outlineLevel="1">
      <c r="A72" s="379" t="s">
        <v>458</v>
      </c>
      <c r="B72" s="379"/>
      <c r="C72" s="380">
        <v>1</v>
      </c>
      <c r="D72" s="463" t="s">
        <v>707</v>
      </c>
      <c r="E72" s="429">
        <v>450</v>
      </c>
      <c r="F72" s="429" t="s">
        <v>193</v>
      </c>
      <c r="G72" s="429" t="s">
        <v>460</v>
      </c>
      <c r="H72" s="429" t="s">
        <v>708</v>
      </c>
      <c r="I72" s="429" t="s">
        <v>192</v>
      </c>
      <c r="J72" s="429" t="s">
        <v>285</v>
      </c>
      <c r="K72" s="429" t="s">
        <v>462</v>
      </c>
      <c r="L72" s="429" t="s">
        <v>173</v>
      </c>
      <c r="M72" s="429"/>
      <c r="N72" s="429">
        <v>1</v>
      </c>
      <c r="O72" s="430">
        <v>1</v>
      </c>
      <c r="P72" s="382"/>
      <c r="Q72" s="383"/>
      <c r="R72" s="383"/>
      <c r="S72" s="382"/>
      <c r="T72" s="379" t="s">
        <v>463</v>
      </c>
      <c r="U72" s="379" t="s">
        <v>464</v>
      </c>
      <c r="V72" s="379"/>
      <c r="W72" s="379" t="s">
        <v>197</v>
      </c>
      <c r="X72" s="379" t="s">
        <v>642</v>
      </c>
      <c r="Y72" s="384">
        <v>45002.580694444441</v>
      </c>
      <c r="Z72" s="384">
        <v>45002.580694444441</v>
      </c>
      <c r="AA72" s="386"/>
      <c r="AB72" s="353">
        <f>VLOOKUP(D72,원가정보3!E68:I799,5,0)</f>
        <v>28805.7</v>
      </c>
      <c r="AC72" s="353">
        <f t="shared" si="1"/>
        <v>28805.7</v>
      </c>
      <c r="AD72" s="354" t="s">
        <v>709</v>
      </c>
    </row>
    <row r="73" spans="1:30" s="3" customFormat="1" outlineLevel="1">
      <c r="A73" s="379"/>
      <c r="B73" s="379"/>
      <c r="C73" s="380"/>
      <c r="D73" s="461" t="s">
        <v>710</v>
      </c>
      <c r="E73" s="379"/>
      <c r="F73" s="379"/>
      <c r="G73" s="428" t="s">
        <v>711</v>
      </c>
      <c r="H73" s="379"/>
      <c r="I73" s="379"/>
      <c r="J73" s="379"/>
      <c r="K73" s="379"/>
      <c r="L73" s="379"/>
      <c r="M73" s="379"/>
      <c r="N73" s="379"/>
      <c r="O73" s="382">
        <v>1</v>
      </c>
      <c r="P73" s="382"/>
      <c r="Q73" s="383"/>
      <c r="R73" s="383"/>
      <c r="S73" s="382"/>
      <c r="T73" s="379"/>
      <c r="U73" s="379"/>
      <c r="V73" s="379"/>
      <c r="W73" s="379"/>
      <c r="X73" s="379"/>
      <c r="Y73" s="379"/>
      <c r="Z73" s="353"/>
      <c r="AA73" s="353"/>
      <c r="AB73" s="353">
        <f>VLOOKUP(D73,원가정보3!E69:I800,5,0)</f>
        <v>27912.500000000004</v>
      </c>
      <c r="AC73" s="353">
        <f t="shared" si="1"/>
        <v>27912.500000000004</v>
      </c>
      <c r="AD73" s="378" t="s">
        <v>669</v>
      </c>
    </row>
    <row r="74" spans="1:30" s="3" customFormat="1" outlineLevel="1">
      <c r="A74" s="379"/>
      <c r="B74" s="379"/>
      <c r="C74" s="380"/>
      <c r="D74" s="454" t="s">
        <v>712</v>
      </c>
      <c r="E74" s="369"/>
      <c r="F74" s="369"/>
      <c r="G74" s="431" t="s">
        <v>713</v>
      </c>
      <c r="H74" s="369"/>
      <c r="I74" s="369"/>
      <c r="J74" s="369"/>
      <c r="K74" s="369"/>
      <c r="L74" s="369"/>
      <c r="M74" s="369"/>
      <c r="N74" s="369"/>
      <c r="O74" s="423">
        <v>0</v>
      </c>
      <c r="P74" s="382"/>
      <c r="Q74" s="383"/>
      <c r="R74" s="383"/>
      <c r="S74" s="382"/>
      <c r="T74" s="379"/>
      <c r="U74" s="379"/>
      <c r="V74" s="379"/>
      <c r="W74" s="379"/>
      <c r="X74" s="379"/>
      <c r="Y74" s="379"/>
      <c r="Z74" s="353"/>
      <c r="AA74" s="353"/>
      <c r="AB74" s="379">
        <f>VLOOKUP(D74,원가정보3!E70:I801,5,0)</f>
        <v>18980.5</v>
      </c>
      <c r="AC74" s="353">
        <f t="shared" ref="AC74:AC87" si="5">AB74*O74</f>
        <v>0</v>
      </c>
      <c r="AD74" s="354" t="s">
        <v>714</v>
      </c>
    </row>
    <row r="75" spans="1:30">
      <c r="A75" s="428"/>
      <c r="B75" s="428"/>
      <c r="C75" s="428"/>
      <c r="D75" s="466" t="s">
        <v>715</v>
      </c>
      <c r="E75" s="428"/>
      <c r="F75" s="428"/>
      <c r="G75" s="433" t="s">
        <v>716</v>
      </c>
      <c r="H75" s="432" t="s">
        <v>717</v>
      </c>
      <c r="I75" s="428"/>
      <c r="J75" s="428"/>
      <c r="K75" s="428"/>
      <c r="L75" s="433" t="s">
        <v>173</v>
      </c>
      <c r="M75" s="428"/>
      <c r="N75" s="428"/>
      <c r="O75" s="434">
        <v>1</v>
      </c>
      <c r="P75" s="428"/>
      <c r="Q75" s="428" t="s">
        <v>718</v>
      </c>
      <c r="R75" s="428"/>
      <c r="S75" s="428"/>
      <c r="T75" s="428"/>
      <c r="U75" s="428"/>
      <c r="V75" s="428"/>
      <c r="W75" s="428"/>
      <c r="X75" s="428" t="s">
        <v>642</v>
      </c>
      <c r="Y75" s="428"/>
      <c r="Z75" s="428"/>
      <c r="AA75" s="428"/>
      <c r="AB75" s="435">
        <f>VLOOKUP(D75,원가정보3!E71:I802,5,0)</f>
        <v>21827.300000000003</v>
      </c>
      <c r="AC75" s="435">
        <f t="shared" si="5"/>
        <v>21827.300000000003</v>
      </c>
      <c r="AD75" s="428"/>
    </row>
    <row r="76" spans="1:30">
      <c r="A76" s="436"/>
      <c r="B76" s="436"/>
      <c r="C76" s="436"/>
      <c r="D76" s="437" t="s">
        <v>474</v>
      </c>
      <c r="E76" s="436"/>
      <c r="F76" s="436"/>
      <c r="G76" s="438" t="s">
        <v>475</v>
      </c>
      <c r="H76" s="436" t="s">
        <v>476</v>
      </c>
      <c r="I76" s="436"/>
      <c r="J76" s="436"/>
      <c r="K76" s="436"/>
      <c r="L76" s="436"/>
      <c r="M76" s="436"/>
      <c r="N76" s="436"/>
      <c r="O76" s="439">
        <f>IF('사양 입력'!$J$5=G76,'사양 입력'!$K$5,0)</f>
        <v>0</v>
      </c>
      <c r="P76" s="436"/>
      <c r="Q76" s="436"/>
      <c r="R76" s="436"/>
      <c r="S76" s="436"/>
      <c r="T76" s="436"/>
      <c r="U76" s="436"/>
      <c r="V76" s="436"/>
      <c r="W76" s="436"/>
      <c r="X76" s="436" t="s">
        <v>642</v>
      </c>
      <c r="Y76" s="436"/>
      <c r="Z76" s="436"/>
      <c r="AA76" s="436"/>
      <c r="AB76" s="367">
        <f>VLOOKUP(D76,원가정보3!E72:I803,5,0)</f>
        <v>27129</v>
      </c>
      <c r="AC76" s="367">
        <f t="shared" si="5"/>
        <v>0</v>
      </c>
      <c r="AD76" s="428"/>
    </row>
    <row r="77" spans="1:30">
      <c r="A77" s="436"/>
      <c r="B77" s="436"/>
      <c r="C77" s="436"/>
      <c r="D77" s="437" t="s">
        <v>477</v>
      </c>
      <c r="E77" s="436"/>
      <c r="F77" s="436"/>
      <c r="G77" s="436" t="s">
        <v>74</v>
      </c>
      <c r="H77" s="436" t="s">
        <v>478</v>
      </c>
      <c r="I77" s="436"/>
      <c r="J77" s="436"/>
      <c r="K77" s="436"/>
      <c r="L77" s="436"/>
      <c r="M77" s="436"/>
      <c r="N77" s="436"/>
      <c r="O77" s="439">
        <f>IF('사양 입력'!$J$5=G77,'사양 입력'!$K$5,0)</f>
        <v>14</v>
      </c>
      <c r="P77" s="436"/>
      <c r="Q77" s="436"/>
      <c r="R77" s="436"/>
      <c r="S77" s="436"/>
      <c r="T77" s="436"/>
      <c r="U77" s="436"/>
      <c r="V77" s="436"/>
      <c r="W77" s="436"/>
      <c r="X77" s="436" t="s">
        <v>642</v>
      </c>
      <c r="Y77" s="436"/>
      <c r="Z77" s="436"/>
      <c r="AA77" s="436"/>
      <c r="AB77" s="367">
        <f>VLOOKUP(D77,원가정보3!E73:I804,5,0)</f>
        <v>27522</v>
      </c>
      <c r="AC77" s="367">
        <f t="shared" si="5"/>
        <v>385308</v>
      </c>
      <c r="AD77" s="428"/>
    </row>
    <row r="78" spans="1:30">
      <c r="A78" s="436"/>
      <c r="B78" s="436"/>
      <c r="C78" s="436"/>
      <c r="D78" s="437" t="s">
        <v>479</v>
      </c>
      <c r="E78" s="436"/>
      <c r="F78" s="436"/>
      <c r="G78" s="438" t="s">
        <v>480</v>
      </c>
      <c r="H78" s="436" t="s">
        <v>481</v>
      </c>
      <c r="I78" s="436"/>
      <c r="J78" s="436"/>
      <c r="K78" s="436"/>
      <c r="L78" s="436"/>
      <c r="M78" s="436"/>
      <c r="N78" s="436"/>
      <c r="O78" s="439">
        <f>IF('사양 입력'!$J$5=G78,'사양 입력'!$K$5,0)</f>
        <v>0</v>
      </c>
      <c r="P78" s="436"/>
      <c r="Q78" s="436"/>
      <c r="R78" s="436"/>
      <c r="S78" s="436"/>
      <c r="T78" s="436"/>
      <c r="U78" s="436"/>
      <c r="V78" s="436"/>
      <c r="W78" s="436"/>
      <c r="X78" s="436" t="s">
        <v>642</v>
      </c>
      <c r="Y78" s="436"/>
      <c r="Z78" s="436"/>
      <c r="AA78" s="436"/>
      <c r="AB78" s="367">
        <f>VLOOKUP(D78,원가정보3!E74:I805,5,0)</f>
        <v>113883.00000000001</v>
      </c>
      <c r="AC78" s="367">
        <f t="shared" si="5"/>
        <v>0</v>
      </c>
      <c r="AD78" s="428"/>
    </row>
    <row r="79" spans="1:30">
      <c r="A79" s="436"/>
      <c r="B79" s="436"/>
      <c r="C79" s="436"/>
      <c r="D79" s="437" t="s">
        <v>482</v>
      </c>
      <c r="E79" s="436"/>
      <c r="F79" s="436"/>
      <c r="G79" s="438" t="s">
        <v>483</v>
      </c>
      <c r="H79" s="436" t="s">
        <v>484</v>
      </c>
      <c r="I79" s="436"/>
      <c r="J79" s="436"/>
      <c r="K79" s="436"/>
      <c r="L79" s="436"/>
      <c r="M79" s="436"/>
      <c r="N79" s="436"/>
      <c r="O79" s="439">
        <f>IF('사양 입력'!$J$7=G79,'사양 입력'!$K$7,0)</f>
        <v>0</v>
      </c>
      <c r="P79" s="436"/>
      <c r="Q79" s="436"/>
      <c r="R79" s="436"/>
      <c r="S79" s="436"/>
      <c r="T79" s="436"/>
      <c r="U79" s="436"/>
      <c r="V79" s="436"/>
      <c r="W79" s="436"/>
      <c r="X79" s="436" t="s">
        <v>642</v>
      </c>
      <c r="Y79" s="436"/>
      <c r="Z79" s="436"/>
      <c r="AA79" s="436"/>
      <c r="AB79" s="367">
        <f>VLOOKUP(D79,원가정보3!E75:I806,5,0)</f>
        <v>27216</v>
      </c>
      <c r="AC79" s="367">
        <f t="shared" si="5"/>
        <v>0</v>
      </c>
      <c r="AD79" s="428"/>
    </row>
    <row r="80" spans="1:30">
      <c r="A80" s="436"/>
      <c r="B80" s="436"/>
      <c r="C80" s="436"/>
      <c r="D80" s="437" t="s">
        <v>485</v>
      </c>
      <c r="E80" s="436"/>
      <c r="F80" s="436"/>
      <c r="G80" s="436" t="s">
        <v>81</v>
      </c>
      <c r="H80" s="436" t="s">
        <v>486</v>
      </c>
      <c r="I80" s="436"/>
      <c r="J80" s="436"/>
      <c r="K80" s="436"/>
      <c r="L80" s="436"/>
      <c r="M80" s="436"/>
      <c r="N80" s="436"/>
      <c r="O80" s="439">
        <f>IF('사양 입력'!$J$7=G80,'사양 입력'!$K$7,0)</f>
        <v>1</v>
      </c>
      <c r="P80" s="436"/>
      <c r="Q80" s="436"/>
      <c r="R80" s="436"/>
      <c r="S80" s="436"/>
      <c r="T80" s="436"/>
      <c r="U80" s="436"/>
      <c r="V80" s="436"/>
      <c r="W80" s="436"/>
      <c r="X80" s="436" t="s">
        <v>642</v>
      </c>
      <c r="Y80" s="436"/>
      <c r="Z80" s="436"/>
      <c r="AA80" s="436"/>
      <c r="AB80" s="367">
        <f>VLOOKUP(D80,원가정보3!E76:I807,5,0)</f>
        <v>25435</v>
      </c>
      <c r="AC80" s="367">
        <f t="shared" si="5"/>
        <v>25435</v>
      </c>
      <c r="AD80" s="428"/>
    </row>
    <row r="81" spans="1:30">
      <c r="A81" s="436"/>
      <c r="B81" s="436"/>
      <c r="C81" s="436"/>
      <c r="D81" s="437" t="s">
        <v>487</v>
      </c>
      <c r="E81" s="436"/>
      <c r="F81" s="436"/>
      <c r="G81" s="438" t="s">
        <v>488</v>
      </c>
      <c r="H81" s="436" t="s">
        <v>489</v>
      </c>
      <c r="I81" s="436"/>
      <c r="J81" s="436"/>
      <c r="K81" s="436"/>
      <c r="L81" s="436"/>
      <c r="M81" s="436"/>
      <c r="N81" s="436"/>
      <c r="O81" s="439">
        <f>IF('사양 입력'!$J$7=G81,'사양 입력'!$K$7,0)</f>
        <v>0</v>
      </c>
      <c r="P81" s="436"/>
      <c r="Q81" s="436"/>
      <c r="R81" s="436"/>
      <c r="S81" s="436"/>
      <c r="T81" s="436"/>
      <c r="U81" s="436"/>
      <c r="V81" s="436"/>
      <c r="W81" s="436"/>
      <c r="X81" s="436" t="s">
        <v>642</v>
      </c>
      <c r="Y81" s="436"/>
      <c r="Z81" s="436"/>
      <c r="AA81" s="436"/>
      <c r="AB81" s="367">
        <f>VLOOKUP(D81,원가정보3!E77:I808,5,0)</f>
        <v>117232.50000000001</v>
      </c>
      <c r="AC81" s="367">
        <f t="shared" si="5"/>
        <v>0</v>
      </c>
      <c r="AD81" s="428"/>
    </row>
    <row r="82" spans="1:30">
      <c r="A82" s="436"/>
      <c r="B82" s="436"/>
      <c r="C82" s="436"/>
      <c r="D82" s="437" t="s">
        <v>482</v>
      </c>
      <c r="E82" s="436"/>
      <c r="F82" s="436"/>
      <c r="G82" s="438" t="s">
        <v>490</v>
      </c>
      <c r="H82" s="436" t="s">
        <v>484</v>
      </c>
      <c r="I82" s="436"/>
      <c r="J82" s="436"/>
      <c r="K82" s="436"/>
      <c r="L82" s="436"/>
      <c r="M82" s="436"/>
      <c r="N82" s="436"/>
      <c r="O82" s="439">
        <f>IF('사양 입력'!$J$8=G82,'사양 입력'!$K$8,0)</f>
        <v>0</v>
      </c>
      <c r="P82" s="436"/>
      <c r="Q82" s="436"/>
      <c r="R82" s="436"/>
      <c r="S82" s="436"/>
      <c r="T82" s="436"/>
      <c r="U82" s="436"/>
      <c r="V82" s="436"/>
      <c r="W82" s="436"/>
      <c r="X82" s="436" t="s">
        <v>642</v>
      </c>
      <c r="Y82" s="436"/>
      <c r="Z82" s="436"/>
      <c r="AA82" s="436"/>
      <c r="AB82" s="367">
        <f>VLOOKUP(D82,원가정보3!E78:I809,5,0)</f>
        <v>27216</v>
      </c>
      <c r="AC82" s="367">
        <f t="shared" si="5"/>
        <v>0</v>
      </c>
      <c r="AD82" s="428"/>
    </row>
    <row r="83" spans="1:30">
      <c r="A83" s="436"/>
      <c r="B83" s="436"/>
      <c r="C83" s="436"/>
      <c r="D83" s="437" t="s">
        <v>485</v>
      </c>
      <c r="E83" s="436"/>
      <c r="F83" s="436"/>
      <c r="G83" s="436" t="s">
        <v>85</v>
      </c>
      <c r="H83" s="436" t="s">
        <v>486</v>
      </c>
      <c r="I83" s="436"/>
      <c r="J83" s="436"/>
      <c r="K83" s="436"/>
      <c r="L83" s="436"/>
      <c r="M83" s="436"/>
      <c r="N83" s="436"/>
      <c r="O83" s="439">
        <f>IF('사양 입력'!$J$8=G83,'사양 입력'!$K$8,0)</f>
        <v>1</v>
      </c>
      <c r="P83" s="436"/>
      <c r="Q83" s="436"/>
      <c r="R83" s="436"/>
      <c r="S83" s="436"/>
      <c r="T83" s="436"/>
      <c r="U83" s="436"/>
      <c r="V83" s="436"/>
      <c r="W83" s="436"/>
      <c r="X83" s="436" t="s">
        <v>642</v>
      </c>
      <c r="Y83" s="436"/>
      <c r="Z83" s="436"/>
      <c r="AA83" s="436"/>
      <c r="AB83" s="367">
        <f>VLOOKUP(D83,원가정보3!E79:I810,5,0)</f>
        <v>25435</v>
      </c>
      <c r="AC83" s="367">
        <f t="shared" si="5"/>
        <v>25435</v>
      </c>
      <c r="AD83" s="428"/>
    </row>
    <row r="84" spans="1:30">
      <c r="A84" s="436"/>
      <c r="B84" s="436"/>
      <c r="C84" s="436"/>
      <c r="D84" s="437" t="s">
        <v>487</v>
      </c>
      <c r="E84" s="436"/>
      <c r="F84" s="436"/>
      <c r="G84" s="438" t="s">
        <v>491</v>
      </c>
      <c r="H84" s="436" t="s">
        <v>489</v>
      </c>
      <c r="I84" s="436"/>
      <c r="J84" s="436"/>
      <c r="K84" s="436"/>
      <c r="L84" s="436"/>
      <c r="M84" s="436"/>
      <c r="N84" s="436"/>
      <c r="O84" s="439">
        <f>IF('사양 입력'!$J$8=G84,'사양 입력'!$K$8,0)</f>
        <v>0</v>
      </c>
      <c r="P84" s="436"/>
      <c r="Q84" s="436"/>
      <c r="R84" s="436"/>
      <c r="S84" s="436"/>
      <c r="T84" s="436"/>
      <c r="U84" s="436"/>
      <c r="V84" s="436"/>
      <c r="W84" s="436"/>
      <c r="X84" s="436" t="s">
        <v>642</v>
      </c>
      <c r="Y84" s="436"/>
      <c r="Z84" s="436"/>
      <c r="AA84" s="436"/>
      <c r="AB84" s="367">
        <f>VLOOKUP(D84,원가정보3!E80:I811,5,0)</f>
        <v>117232.50000000001</v>
      </c>
      <c r="AC84" s="367">
        <f t="shared" si="5"/>
        <v>0</v>
      </c>
      <c r="AD84" s="428"/>
    </row>
    <row r="85" spans="1:30">
      <c r="A85" s="436"/>
      <c r="B85" s="436"/>
      <c r="C85" s="436"/>
      <c r="D85" s="437" t="s">
        <v>492</v>
      </c>
      <c r="E85" s="436"/>
      <c r="F85" s="436"/>
      <c r="G85" s="438" t="s">
        <v>493</v>
      </c>
      <c r="H85" s="436" t="s">
        <v>494</v>
      </c>
      <c r="I85" s="436"/>
      <c r="J85" s="436"/>
      <c r="K85" s="436"/>
      <c r="L85" s="436"/>
      <c r="M85" s="436"/>
      <c r="N85" s="436"/>
      <c r="O85" s="439">
        <f>IF('사양 입력'!$J$4=G85,'사양 입력'!$K$4,0)</f>
        <v>0</v>
      </c>
      <c r="P85" s="436"/>
      <c r="Q85" s="436"/>
      <c r="R85" s="436"/>
      <c r="S85" s="436"/>
      <c r="T85" s="436"/>
      <c r="U85" s="436"/>
      <c r="V85" s="436"/>
      <c r="W85" s="436"/>
      <c r="X85" s="436" t="s">
        <v>642</v>
      </c>
      <c r="Y85" s="436"/>
      <c r="Z85" s="436"/>
      <c r="AA85" s="436"/>
      <c r="AB85" s="367">
        <f>VLOOKUP(D85,원가정보3!E81:I812,5,0)</f>
        <v>68345</v>
      </c>
      <c r="AC85" s="367">
        <f t="shared" si="5"/>
        <v>0</v>
      </c>
      <c r="AD85" s="428"/>
    </row>
    <row r="86" spans="1:30">
      <c r="A86" s="436"/>
      <c r="B86" s="436"/>
      <c r="C86" s="436"/>
      <c r="D86" s="437" t="s">
        <v>495</v>
      </c>
      <c r="E86" s="436"/>
      <c r="F86" s="436"/>
      <c r="G86" s="436" t="s">
        <v>71</v>
      </c>
      <c r="H86" s="436" t="s">
        <v>496</v>
      </c>
      <c r="I86" s="436"/>
      <c r="J86" s="436"/>
      <c r="K86" s="436"/>
      <c r="L86" s="436"/>
      <c r="M86" s="436"/>
      <c r="N86" s="436"/>
      <c r="O86" s="439">
        <f>IF('사양 입력'!$J$4=G86,'사양 입력'!$K$4,0)</f>
        <v>1</v>
      </c>
      <c r="P86" s="436"/>
      <c r="Q86" s="436"/>
      <c r="R86" s="436"/>
      <c r="S86" s="436"/>
      <c r="T86" s="436"/>
      <c r="U86" s="436"/>
      <c r="V86" s="436"/>
      <c r="W86" s="436"/>
      <c r="X86" s="436" t="s">
        <v>642</v>
      </c>
      <c r="Y86" s="436"/>
      <c r="Z86" s="436"/>
      <c r="AA86" s="436"/>
      <c r="AB86" s="367">
        <f>VLOOKUP(D86,원가정보3!E82:I813,5,0)</f>
        <v>27522</v>
      </c>
      <c r="AC86" s="367">
        <f t="shared" si="5"/>
        <v>27522</v>
      </c>
      <c r="AD86" s="428"/>
    </row>
    <row r="87" spans="1:30">
      <c r="A87" s="436"/>
      <c r="B87" s="436"/>
      <c r="C87" s="436"/>
      <c r="D87" s="437" t="s">
        <v>497</v>
      </c>
      <c r="E87" s="436"/>
      <c r="F87" s="436"/>
      <c r="G87" s="438" t="s">
        <v>498</v>
      </c>
      <c r="H87" s="436" t="s">
        <v>499</v>
      </c>
      <c r="I87" s="436"/>
      <c r="J87" s="436"/>
      <c r="K87" s="436"/>
      <c r="L87" s="436"/>
      <c r="M87" s="436"/>
      <c r="N87" s="436"/>
      <c r="O87" s="439">
        <f>IF('사양 입력'!$J$4=G87,'사양 입력'!$K$4,0)</f>
        <v>0</v>
      </c>
      <c r="P87" s="436"/>
      <c r="Q87" s="436"/>
      <c r="R87" s="436"/>
      <c r="S87" s="436"/>
      <c r="T87" s="436"/>
      <c r="U87" s="436"/>
      <c r="V87" s="436"/>
      <c r="W87" s="436"/>
      <c r="X87" s="436" t="s">
        <v>642</v>
      </c>
      <c r="Y87" s="436"/>
      <c r="Z87" s="436"/>
      <c r="AA87" s="436"/>
      <c r="AB87" s="367">
        <f>VLOOKUP(D87,원가정보3!E83:I814,5,0)</f>
        <v>94343.700000000012</v>
      </c>
      <c r="AC87" s="367">
        <f t="shared" si="5"/>
        <v>0</v>
      </c>
      <c r="AD87" s="428"/>
    </row>
    <row r="88" spans="1:30">
      <c r="A88" s="436"/>
      <c r="B88" s="436"/>
      <c r="C88" s="436"/>
      <c r="D88" s="437" t="s">
        <v>500</v>
      </c>
      <c r="E88" s="436"/>
      <c r="F88" s="436"/>
      <c r="G88" s="438" t="s">
        <v>501</v>
      </c>
      <c r="H88" s="436" t="s">
        <v>502</v>
      </c>
      <c r="I88" s="436"/>
      <c r="J88" s="436"/>
      <c r="K88" s="436"/>
      <c r="L88" s="436"/>
      <c r="M88" s="436"/>
      <c r="N88" s="436"/>
      <c r="O88" s="439">
        <f>IF(NOT('사양 입력'!$J$4="COP 원형 DOT"),1,0)</f>
        <v>1</v>
      </c>
      <c r="P88" s="436"/>
      <c r="Q88" s="436"/>
      <c r="R88" s="436"/>
      <c r="S88" s="436"/>
      <c r="T88" s="436"/>
      <c r="U88" s="436"/>
      <c r="V88" s="436"/>
      <c r="W88" s="436"/>
      <c r="X88" s="436" t="s">
        <v>642</v>
      </c>
      <c r="Y88" s="436"/>
      <c r="Z88" s="436"/>
      <c r="AA88" s="436"/>
      <c r="AB88" s="367">
        <f>VLOOKUP(D88,원가정보3!E84:I815,5,0)</f>
        <v>54167</v>
      </c>
      <c r="AC88" s="440">
        <f>AB88*O88</f>
        <v>54167</v>
      </c>
      <c r="AD88" s="428"/>
    </row>
    <row r="89" spans="1:30">
      <c r="A89" s="436"/>
      <c r="B89" s="436"/>
      <c r="C89" s="436"/>
      <c r="D89" s="437" t="s">
        <v>503</v>
      </c>
      <c r="E89" s="436"/>
      <c r="F89" s="436"/>
      <c r="G89" s="363" t="s">
        <v>504</v>
      </c>
      <c r="H89" s="436" t="s">
        <v>505</v>
      </c>
      <c r="I89" s="436"/>
      <c r="J89" s="436"/>
      <c r="K89" s="436"/>
      <c r="L89" s="436"/>
      <c r="M89" s="436"/>
      <c r="N89" s="436"/>
      <c r="O89" s="439">
        <f>'사양 입력'!$K$9</f>
        <v>0</v>
      </c>
      <c r="P89" s="436"/>
      <c r="Q89" s="436"/>
      <c r="R89" s="436"/>
      <c r="S89" s="436"/>
      <c r="T89" s="436"/>
      <c r="U89" s="436"/>
      <c r="V89" s="436"/>
      <c r="W89" s="436"/>
      <c r="X89" s="436" t="s">
        <v>642</v>
      </c>
      <c r="Y89" s="436"/>
      <c r="Z89" s="436"/>
      <c r="AA89" s="436"/>
      <c r="AB89" s="367">
        <f>VLOOKUP(D89,원가정보3!E85:I816,5,0)</f>
        <v>17030</v>
      </c>
      <c r="AC89" s="367">
        <f>AB89*O89</f>
        <v>0</v>
      </c>
      <c r="AD89" s="428"/>
    </row>
    <row r="90" spans="1:30">
      <c r="A90" s="424"/>
      <c r="B90" s="424"/>
      <c r="C90" s="424"/>
      <c r="D90" s="441" t="s">
        <v>506</v>
      </c>
      <c r="E90" s="424"/>
      <c r="F90" s="424"/>
      <c r="G90" s="442" t="s">
        <v>507</v>
      </c>
      <c r="H90" s="424" t="s">
        <v>719</v>
      </c>
      <c r="I90" s="424"/>
      <c r="J90" s="424"/>
      <c r="K90" s="424"/>
      <c r="L90" s="424"/>
      <c r="M90" s="424"/>
      <c r="N90" s="424"/>
      <c r="O90" s="424">
        <f>IF('사양 입력'!$K$11="Y",2,0)</f>
        <v>0</v>
      </c>
      <c r="P90" s="424"/>
      <c r="Q90" s="424"/>
      <c r="R90" s="424"/>
      <c r="S90" s="424"/>
      <c r="T90" s="424"/>
      <c r="U90" s="424"/>
      <c r="V90" s="424"/>
      <c r="W90" s="424"/>
      <c r="X90" s="424" t="s">
        <v>642</v>
      </c>
      <c r="Y90" s="424"/>
      <c r="Z90" s="424"/>
      <c r="AA90" s="424"/>
      <c r="AB90" s="353">
        <f>VLOOKUP(D90,원가정보3!E86:I817,5,0)</f>
        <v>8932</v>
      </c>
      <c r="AC90" s="353">
        <f>AB90*O90</f>
        <v>0</v>
      </c>
      <c r="AD90" s="428"/>
    </row>
    <row r="91" spans="1:30">
      <c r="A91" s="424"/>
      <c r="B91" s="424"/>
      <c r="C91" s="424"/>
      <c r="D91" s="441" t="s">
        <v>509</v>
      </c>
      <c r="E91" s="424"/>
      <c r="F91" s="424"/>
      <c r="G91" s="442" t="s">
        <v>510</v>
      </c>
      <c r="H91" s="424" t="s">
        <v>720</v>
      </c>
      <c r="I91" s="424"/>
      <c r="J91" s="424"/>
      <c r="K91" s="424"/>
      <c r="L91" s="424"/>
      <c r="M91" s="424"/>
      <c r="N91" s="424"/>
      <c r="O91" s="424">
        <f>IF('사양 입력'!$K$11="Y",1,0)</f>
        <v>0</v>
      </c>
      <c r="P91" s="424"/>
      <c r="Q91" s="424"/>
      <c r="R91" s="424"/>
      <c r="S91" s="424"/>
      <c r="T91" s="424"/>
      <c r="U91" s="424"/>
      <c r="V91" s="424"/>
      <c r="W91" s="424"/>
      <c r="X91" s="424" t="s">
        <v>642</v>
      </c>
      <c r="Y91" s="424"/>
      <c r="Z91" s="424"/>
      <c r="AA91" s="424"/>
      <c r="AB91" s="353">
        <f>VLOOKUP(D91,원가정보3!E87:I818,5,0)</f>
        <v>10048.5</v>
      </c>
      <c r="AC91" s="353">
        <f t="shared" ref="AC91:AC92" si="6">AB91*O91</f>
        <v>0</v>
      </c>
      <c r="AD91" s="428"/>
    </row>
    <row r="92" spans="1:30">
      <c r="A92" s="424"/>
      <c r="B92" s="424"/>
      <c r="C92" s="424"/>
      <c r="D92" s="441" t="s">
        <v>512</v>
      </c>
      <c r="E92" s="424"/>
      <c r="F92" s="424"/>
      <c r="G92" s="442" t="s">
        <v>721</v>
      </c>
      <c r="H92" s="424" t="s">
        <v>722</v>
      </c>
      <c r="I92" s="424"/>
      <c r="J92" s="424"/>
      <c r="K92" s="424"/>
      <c r="L92" s="424"/>
      <c r="M92" s="424"/>
      <c r="N92" s="424"/>
      <c r="O92" s="424">
        <f>IF('사양 입력'!$K$11="Y",1,0)</f>
        <v>0</v>
      </c>
      <c r="P92" s="424"/>
      <c r="Q92" s="424"/>
      <c r="R92" s="424"/>
      <c r="S92" s="424"/>
      <c r="T92" s="424"/>
      <c r="U92" s="424"/>
      <c r="V92" s="424"/>
      <c r="W92" s="424"/>
      <c r="X92" s="424" t="s">
        <v>642</v>
      </c>
      <c r="Y92" s="424"/>
      <c r="Z92" s="424"/>
      <c r="AA92" s="424"/>
      <c r="AB92" s="353">
        <f>VLOOKUP(D92,원가정보3!E88:I819,5,0)</f>
        <v>80638.8</v>
      </c>
      <c r="AC92" s="353">
        <f t="shared" si="6"/>
        <v>0</v>
      </c>
      <c r="AD92" s="428"/>
    </row>
    <row r="93" spans="1:30">
      <c r="A93" s="424"/>
      <c r="B93" s="424"/>
      <c r="C93" s="424"/>
      <c r="D93" s="441" t="s">
        <v>515</v>
      </c>
      <c r="E93" s="424"/>
      <c r="F93" s="424"/>
      <c r="G93" s="442" t="s">
        <v>723</v>
      </c>
      <c r="H93" s="424" t="s">
        <v>724</v>
      </c>
      <c r="I93" s="424"/>
      <c r="J93" s="424"/>
      <c r="K93" s="424"/>
      <c r="L93" s="424"/>
      <c r="M93" s="424"/>
      <c r="N93" s="424"/>
      <c r="O93" s="424">
        <f>IF('사양 입력'!$K$11="Y",1,0)</f>
        <v>0</v>
      </c>
      <c r="P93" s="424"/>
      <c r="Q93" s="424"/>
      <c r="R93" s="424"/>
      <c r="S93" s="424"/>
      <c r="T93" s="424"/>
      <c r="U93" s="424"/>
      <c r="V93" s="424"/>
      <c r="W93" s="424"/>
      <c r="X93" s="424" t="s">
        <v>642</v>
      </c>
      <c r="Y93" s="424"/>
      <c r="Z93" s="424"/>
      <c r="AA93" s="424"/>
      <c r="AB93" s="353">
        <f>VLOOKUP(D93,원가정보3!E89:I820,5,0)</f>
        <v>4912.6000000000004</v>
      </c>
      <c r="AC93" s="353">
        <f>AB93*O93</f>
        <v>0</v>
      </c>
      <c r="AD93" s="428"/>
    </row>
    <row r="94" spans="1:30">
      <c r="A94" s="424"/>
      <c r="B94" s="424"/>
      <c r="C94" s="424"/>
      <c r="D94" s="441" t="s">
        <v>725</v>
      </c>
      <c r="E94" s="424"/>
      <c r="F94" s="424"/>
      <c r="G94" s="442" t="s">
        <v>726</v>
      </c>
      <c r="H94" s="424" t="s">
        <v>727</v>
      </c>
      <c r="I94" s="424"/>
      <c r="J94" s="424"/>
      <c r="K94" s="424"/>
      <c r="L94" s="424"/>
      <c r="M94" s="424"/>
      <c r="N94" s="424"/>
      <c r="O94" s="424">
        <f>IF('사양 입력'!$K$11="Y",1,0)</f>
        <v>0</v>
      </c>
      <c r="P94" s="424"/>
      <c r="Q94" s="424"/>
      <c r="R94" s="424"/>
      <c r="S94" s="424"/>
      <c r="T94" s="424"/>
      <c r="U94" s="424"/>
      <c r="V94" s="424"/>
      <c r="W94" s="424"/>
      <c r="X94" s="424" t="s">
        <v>642</v>
      </c>
      <c r="Y94" s="424"/>
      <c r="Z94" s="424"/>
      <c r="AA94" s="424"/>
      <c r="AB94" s="353">
        <f>VLOOKUP(D94,원가정보3!E90:I821,5,0)</f>
        <v>208785.50000000003</v>
      </c>
      <c r="AC94" s="353">
        <f t="shared" ref="AC94:AC101" si="7">AB94*O94</f>
        <v>0</v>
      </c>
      <c r="AD94" s="428"/>
    </row>
    <row r="95" spans="1:30">
      <c r="A95" s="424"/>
      <c r="B95" s="424"/>
      <c r="C95" s="424"/>
      <c r="D95" s="441" t="s">
        <v>616</v>
      </c>
      <c r="E95" s="424"/>
      <c r="F95" s="424"/>
      <c r="G95" s="424" t="s">
        <v>617</v>
      </c>
      <c r="H95" s="441" t="s">
        <v>728</v>
      </c>
      <c r="I95" s="424"/>
      <c r="J95" s="424"/>
      <c r="K95" s="424"/>
      <c r="L95" s="424"/>
      <c r="M95" s="424"/>
      <c r="N95" s="424"/>
      <c r="O95" s="424">
        <f>IF('사양 입력'!$K$12="Y",9,0)</f>
        <v>0</v>
      </c>
      <c r="P95" s="424"/>
      <c r="Q95" s="424"/>
      <c r="R95" s="424"/>
      <c r="S95" s="424"/>
      <c r="T95" s="424"/>
      <c r="U95" s="424"/>
      <c r="V95" s="424"/>
      <c r="W95" s="424"/>
      <c r="X95" s="424" t="s">
        <v>642</v>
      </c>
      <c r="Y95" s="424"/>
      <c r="Z95" s="424"/>
      <c r="AA95" s="424"/>
      <c r="AB95" s="353">
        <f>VLOOKUP(D95,원가정보3!E91:I822,5,0)</f>
        <v>141.9</v>
      </c>
      <c r="AC95" s="353">
        <f t="shared" si="7"/>
        <v>0</v>
      </c>
      <c r="AD95" s="428"/>
    </row>
    <row r="96" spans="1:30">
      <c r="A96" s="424"/>
      <c r="B96" s="424"/>
      <c r="C96" s="424"/>
      <c r="D96" s="441" t="s">
        <v>619</v>
      </c>
      <c r="E96" s="424"/>
      <c r="F96" s="424"/>
      <c r="G96" s="424" t="s">
        <v>620</v>
      </c>
      <c r="H96" s="441" t="s">
        <v>729</v>
      </c>
      <c r="I96" s="424"/>
      <c r="J96" s="424"/>
      <c r="K96" s="424"/>
      <c r="L96" s="424"/>
      <c r="M96" s="424"/>
      <c r="N96" s="424"/>
      <c r="O96" s="424">
        <f>IF('사양 입력'!$K$12="Y",1,0)</f>
        <v>0</v>
      </c>
      <c r="P96" s="424"/>
      <c r="Q96" s="424"/>
      <c r="R96" s="424"/>
      <c r="S96" s="424"/>
      <c r="T96" s="424"/>
      <c r="U96" s="424"/>
      <c r="V96" s="424"/>
      <c r="W96" s="424"/>
      <c r="X96" s="424" t="s">
        <v>642</v>
      </c>
      <c r="Y96" s="424"/>
      <c r="Z96" s="424"/>
      <c r="AA96" s="424"/>
      <c r="AB96" s="353">
        <f>VLOOKUP(D96,원가정보3!E92:I823,5,0)</f>
        <v>39209.5</v>
      </c>
      <c r="AC96" s="353">
        <f t="shared" si="7"/>
        <v>0</v>
      </c>
      <c r="AD96" s="428"/>
    </row>
    <row r="97" spans="1:30">
      <c r="A97" s="424"/>
      <c r="B97" s="424"/>
      <c r="C97" s="424"/>
      <c r="D97" s="441" t="s">
        <v>622</v>
      </c>
      <c r="E97" s="424"/>
      <c r="F97" s="424"/>
      <c r="G97" s="424" t="s">
        <v>623</v>
      </c>
      <c r="H97" s="441" t="s">
        <v>730</v>
      </c>
      <c r="I97" s="424"/>
      <c r="J97" s="424"/>
      <c r="K97" s="424"/>
      <c r="L97" s="424"/>
      <c r="M97" s="424"/>
      <c r="N97" s="424"/>
      <c r="O97" s="424">
        <f>IF('사양 입력'!$K$12="Y",6,0)</f>
        <v>0</v>
      </c>
      <c r="P97" s="424"/>
      <c r="Q97" s="424"/>
      <c r="R97" s="424"/>
      <c r="S97" s="424"/>
      <c r="T97" s="424"/>
      <c r="U97" s="424"/>
      <c r="V97" s="424"/>
      <c r="W97" s="424"/>
      <c r="X97" s="424" t="s">
        <v>642</v>
      </c>
      <c r="Y97" s="424"/>
      <c r="Z97" s="424"/>
      <c r="AA97" s="424"/>
      <c r="AB97" s="353">
        <f>VLOOKUP(D97,원가정보3!E93:I824,5,0)</f>
        <v>1171.5</v>
      </c>
      <c r="AC97" s="353">
        <f t="shared" si="7"/>
        <v>0</v>
      </c>
      <c r="AD97" s="428"/>
    </row>
    <row r="98" spans="1:30">
      <c r="A98" s="424"/>
      <c r="B98" s="424"/>
      <c r="C98" s="424"/>
      <c r="D98" s="441" t="s">
        <v>625</v>
      </c>
      <c r="E98" s="424"/>
      <c r="F98" s="424"/>
      <c r="G98" s="424" t="s">
        <v>626</v>
      </c>
      <c r="H98" s="441" t="s">
        <v>731</v>
      </c>
      <c r="I98" s="424"/>
      <c r="J98" s="424"/>
      <c r="K98" s="424"/>
      <c r="L98" s="424"/>
      <c r="M98" s="424"/>
      <c r="N98" s="424"/>
      <c r="O98" s="424">
        <f>IF('사양 입력'!$K$12="Y",9,0)</f>
        <v>0</v>
      </c>
      <c r="P98" s="424"/>
      <c r="Q98" s="424"/>
      <c r="R98" s="424"/>
      <c r="S98" s="424"/>
      <c r="T98" s="424"/>
      <c r="U98" s="424"/>
      <c r="V98" s="424"/>
      <c r="W98" s="424"/>
      <c r="X98" s="424" t="s">
        <v>642</v>
      </c>
      <c r="Y98" s="424"/>
      <c r="Z98" s="424"/>
      <c r="AA98" s="424"/>
      <c r="AB98" s="353">
        <f>VLOOKUP(D98,원가정보3!E94:I825,5,0)</f>
        <v>7111.5000000000009</v>
      </c>
      <c r="AC98" s="353">
        <f t="shared" si="7"/>
        <v>0</v>
      </c>
      <c r="AD98" s="428"/>
    </row>
    <row r="99" spans="1:30">
      <c r="A99" s="424"/>
      <c r="B99" s="424"/>
      <c r="C99" s="424"/>
      <c r="D99" s="441" t="s">
        <v>628</v>
      </c>
      <c r="E99" s="424"/>
      <c r="F99" s="424"/>
      <c r="G99" s="424" t="s">
        <v>629</v>
      </c>
      <c r="H99" s="441" t="s">
        <v>732</v>
      </c>
      <c r="I99" s="424"/>
      <c r="J99" s="424"/>
      <c r="K99" s="424"/>
      <c r="L99" s="424"/>
      <c r="M99" s="424"/>
      <c r="N99" s="424"/>
      <c r="O99" s="424">
        <f>IF('사양 입력'!$K$12="Y",3,0)</f>
        <v>0</v>
      </c>
      <c r="P99" s="424"/>
      <c r="Q99" s="424"/>
      <c r="R99" s="424"/>
      <c r="S99" s="424"/>
      <c r="T99" s="424"/>
      <c r="U99" s="424"/>
      <c r="V99" s="424"/>
      <c r="W99" s="424"/>
      <c r="X99" s="424" t="s">
        <v>642</v>
      </c>
      <c r="Y99" s="424"/>
      <c r="Z99" s="424"/>
      <c r="AA99" s="424"/>
      <c r="AB99" s="353">
        <f>VLOOKUP(D99,원가정보3!E95:I826,5,0)</f>
        <v>4524.3</v>
      </c>
      <c r="AC99" s="353">
        <f t="shared" si="7"/>
        <v>0</v>
      </c>
      <c r="AD99" s="428"/>
    </row>
    <row r="100" spans="1:30">
      <c r="A100" s="424"/>
      <c r="B100" s="424"/>
      <c r="C100" s="424"/>
      <c r="D100" s="441" t="s">
        <v>631</v>
      </c>
      <c r="E100" s="424"/>
      <c r="F100" s="424"/>
      <c r="G100" s="424" t="s">
        <v>632</v>
      </c>
      <c r="H100" s="441" t="s">
        <v>733</v>
      </c>
      <c r="I100" s="424"/>
      <c r="J100" s="424"/>
      <c r="K100" s="424"/>
      <c r="L100" s="424"/>
      <c r="M100" s="424"/>
      <c r="N100" s="424"/>
      <c r="O100" s="424">
        <f>IF('사양 입력'!$K$12="Y",2,0)</f>
        <v>0</v>
      </c>
      <c r="P100" s="424"/>
      <c r="Q100" s="424"/>
      <c r="R100" s="424"/>
      <c r="S100" s="424"/>
      <c r="T100" s="424"/>
      <c r="U100" s="424"/>
      <c r="V100" s="424"/>
      <c r="W100" s="424"/>
      <c r="X100" s="424" t="s">
        <v>642</v>
      </c>
      <c r="Y100" s="424"/>
      <c r="Z100" s="424"/>
      <c r="AA100" s="424"/>
      <c r="AB100" s="353">
        <f>VLOOKUP(D100,원가정보3!E96:I827,5,0)</f>
        <v>3036.0000000000005</v>
      </c>
      <c r="AC100" s="353">
        <f t="shared" si="7"/>
        <v>0</v>
      </c>
      <c r="AD100" s="428"/>
    </row>
    <row r="101" spans="1:30">
      <c r="A101" s="424"/>
      <c r="B101" s="424"/>
      <c r="C101" s="424"/>
      <c r="D101" s="441" t="s">
        <v>634</v>
      </c>
      <c r="E101" s="424"/>
      <c r="F101" s="424"/>
      <c r="G101" s="424" t="s">
        <v>635</v>
      </c>
      <c r="H101" s="441" t="s">
        <v>734</v>
      </c>
      <c r="I101" s="424"/>
      <c r="J101" s="424"/>
      <c r="K101" s="424"/>
      <c r="L101" s="424"/>
      <c r="M101" s="424"/>
      <c r="N101" s="424"/>
      <c r="O101" s="424">
        <f>IF('사양 입력'!$K$12="Y",1,0)</f>
        <v>0</v>
      </c>
      <c r="P101" s="424"/>
      <c r="Q101" s="424"/>
      <c r="R101" s="424"/>
      <c r="S101" s="424"/>
      <c r="T101" s="424"/>
      <c r="U101" s="424"/>
      <c r="V101" s="424"/>
      <c r="W101" s="424"/>
      <c r="X101" s="424" t="s">
        <v>642</v>
      </c>
      <c r="Y101" s="424"/>
      <c r="Z101" s="424"/>
      <c r="AA101" s="424"/>
      <c r="AB101" s="353">
        <f>VLOOKUP(D101,원가정보3!E97:I828,5,0)</f>
        <v>6827.7000000000007</v>
      </c>
      <c r="AC101" s="353">
        <f t="shared" si="7"/>
        <v>0</v>
      </c>
      <c r="AD101" s="428"/>
    </row>
    <row r="102" spans="1:30">
      <c r="A102" s="109"/>
      <c r="B102" s="109"/>
      <c r="C102" s="109"/>
      <c r="D102" s="111" t="s">
        <v>527</v>
      </c>
      <c r="E102" s="109"/>
      <c r="F102" s="109"/>
      <c r="G102" s="111" t="s">
        <v>528</v>
      </c>
      <c r="H102" s="109"/>
      <c r="I102" s="109"/>
      <c r="J102" s="109"/>
      <c r="K102" s="109"/>
      <c r="L102" s="109"/>
      <c r="M102" s="109"/>
      <c r="N102" s="109"/>
      <c r="O102" s="109">
        <f>IF('사양 입력'!$K$16="Y",1,0)</f>
        <v>0</v>
      </c>
      <c r="P102" s="109"/>
      <c r="Q102" s="109"/>
      <c r="R102" s="109"/>
      <c r="S102" s="109"/>
      <c r="T102" s="109"/>
      <c r="U102" s="109"/>
      <c r="V102" s="109"/>
      <c r="W102" s="109"/>
      <c r="X102" s="109" t="s">
        <v>224</v>
      </c>
      <c r="Y102" s="109"/>
      <c r="Z102" s="109"/>
      <c r="AA102" s="109"/>
      <c r="AB102" s="101">
        <f>VLOOKUP(D102,원가정보3!$E$5:$I$1048576,5,0)</f>
        <v>131300.40000000002</v>
      </c>
      <c r="AC102" s="101">
        <f>AB102*O102</f>
        <v>0</v>
      </c>
    </row>
    <row r="103" spans="1:30">
      <c r="A103" s="109"/>
      <c r="B103" s="109"/>
      <c r="C103" s="109"/>
      <c r="D103" s="111" t="s">
        <v>529</v>
      </c>
      <c r="E103" s="109"/>
      <c r="F103" s="109"/>
      <c r="G103" s="111" t="s">
        <v>530</v>
      </c>
      <c r="H103" s="109"/>
      <c r="I103" s="109"/>
      <c r="J103" s="109"/>
      <c r="K103" s="109"/>
      <c r="L103" s="109"/>
      <c r="M103" s="109"/>
      <c r="N103" s="109"/>
      <c r="O103" s="109">
        <f>IF('사양 입력'!$K$16="Y",1,0)</f>
        <v>0</v>
      </c>
      <c r="P103" s="109"/>
      <c r="Q103" s="109"/>
      <c r="R103" s="109"/>
      <c r="S103" s="109"/>
      <c r="T103" s="109"/>
      <c r="U103" s="109"/>
      <c r="V103" s="109"/>
      <c r="W103" s="109"/>
      <c r="X103" s="109" t="s">
        <v>224</v>
      </c>
      <c r="Y103" s="109"/>
      <c r="Z103" s="109"/>
      <c r="AA103" s="109"/>
      <c r="AB103" s="101">
        <f>VLOOKUP(D103,원가정보3!$E$5:$I$1048576,5,0)</f>
        <v>43529.200000000004</v>
      </c>
      <c r="AC103" s="101">
        <f>AB103*O103</f>
        <v>0</v>
      </c>
    </row>
    <row r="104" spans="1:30">
      <c r="A104" s="109"/>
      <c r="B104" s="109"/>
      <c r="C104" s="109"/>
      <c r="D104" s="111" t="s">
        <v>531</v>
      </c>
      <c r="E104" s="109"/>
      <c r="F104" s="109"/>
      <c r="G104" s="111" t="s">
        <v>532</v>
      </c>
      <c r="H104" s="111" t="s">
        <v>531</v>
      </c>
      <c r="I104" s="109"/>
      <c r="J104" s="109"/>
      <c r="K104" s="109"/>
      <c r="L104" s="109"/>
      <c r="M104" s="109"/>
      <c r="N104" s="109"/>
      <c r="O104" s="109">
        <f>IF('사양 입력'!$K$17="Y",1,0)</f>
        <v>0</v>
      </c>
      <c r="P104" s="109"/>
      <c r="Q104" s="109" t="s">
        <v>533</v>
      </c>
      <c r="R104" s="109"/>
      <c r="S104" s="109"/>
      <c r="T104" s="109"/>
      <c r="U104" s="109"/>
      <c r="V104" s="109"/>
      <c r="W104" s="109"/>
      <c r="X104" s="109" t="s">
        <v>224</v>
      </c>
      <c r="Y104" s="109"/>
      <c r="Z104" s="109"/>
      <c r="AA104" s="109"/>
      <c r="AB104" s="101">
        <f>VLOOKUP(D104,원가정보3!$E$5:$I$1048576,5,0)</f>
        <v>39420.700000000004</v>
      </c>
      <c r="AC104" s="101">
        <f t="shared" ref="AC104:AC109" si="8">AB104*O104</f>
        <v>0</v>
      </c>
    </row>
    <row r="105" spans="1:30">
      <c r="A105" s="109"/>
      <c r="B105" s="109"/>
      <c r="C105" s="109"/>
      <c r="D105" s="111" t="s">
        <v>534</v>
      </c>
      <c r="E105" s="109"/>
      <c r="F105" s="109"/>
      <c r="G105" s="111" t="s">
        <v>535</v>
      </c>
      <c r="H105" s="111" t="s">
        <v>534</v>
      </c>
      <c r="I105" s="109"/>
      <c r="J105" s="109"/>
      <c r="K105" s="109"/>
      <c r="L105" s="109"/>
      <c r="M105" s="109"/>
      <c r="N105" s="109"/>
      <c r="O105" s="109">
        <f>IF('사양 입력'!$K$17="Y",1,0)</f>
        <v>0</v>
      </c>
      <c r="P105" s="109"/>
      <c r="Q105" s="109" t="s">
        <v>533</v>
      </c>
      <c r="R105" s="109"/>
      <c r="S105" s="109"/>
      <c r="T105" s="109"/>
      <c r="U105" s="109"/>
      <c r="V105" s="109"/>
      <c r="W105" s="109"/>
      <c r="X105" s="109" t="s">
        <v>224</v>
      </c>
      <c r="Y105" s="109"/>
      <c r="Z105" s="109"/>
      <c r="AA105" s="109"/>
      <c r="AB105" s="101">
        <f>VLOOKUP(D105,원가정보3!$E$5:$I$1048576,5,0)</f>
        <v>0</v>
      </c>
      <c r="AC105" s="101">
        <f t="shared" si="8"/>
        <v>0</v>
      </c>
    </row>
    <row r="106" spans="1:30">
      <c r="A106" s="109"/>
      <c r="B106" s="109"/>
      <c r="C106" s="109"/>
      <c r="D106" s="111" t="s">
        <v>536</v>
      </c>
      <c r="E106" s="109"/>
      <c r="F106" s="109"/>
      <c r="G106" s="111" t="s">
        <v>537</v>
      </c>
      <c r="H106" s="111" t="s">
        <v>536</v>
      </c>
      <c r="I106" s="109"/>
      <c r="J106" s="109"/>
      <c r="K106" s="109"/>
      <c r="L106" s="109"/>
      <c r="M106" s="109"/>
      <c r="N106" s="109"/>
      <c r="O106" s="109" t="str">
        <f>IF('사양 입력'!$K$17="Y",(2000+'사양 입력'!C11+'사양 입력'!C12-2100+5000)/1000,"0")</f>
        <v>0</v>
      </c>
      <c r="P106" s="109"/>
      <c r="Q106" s="109" t="s">
        <v>533</v>
      </c>
      <c r="R106" s="109"/>
      <c r="S106" s="109"/>
      <c r="T106" s="109"/>
      <c r="U106" s="109"/>
      <c r="V106" s="109"/>
      <c r="W106" s="109"/>
      <c r="X106" s="109" t="s">
        <v>224</v>
      </c>
      <c r="Y106" s="109"/>
      <c r="Z106" s="109"/>
      <c r="AA106" s="109"/>
      <c r="AB106" s="101">
        <f>VLOOKUP(D106,원가정보3!$E$5:$I$1048576,5,0)</f>
        <v>1745.7</v>
      </c>
      <c r="AC106" s="101">
        <f t="shared" si="8"/>
        <v>0</v>
      </c>
    </row>
    <row r="107" spans="1:30">
      <c r="A107" s="109"/>
      <c r="B107" s="109"/>
      <c r="C107" s="109"/>
      <c r="D107" s="111" t="s">
        <v>538</v>
      </c>
      <c r="E107" s="109"/>
      <c r="F107" s="109"/>
      <c r="G107" s="111" t="s">
        <v>539</v>
      </c>
      <c r="H107" s="111" t="s">
        <v>538</v>
      </c>
      <c r="I107" s="109"/>
      <c r="J107" s="109"/>
      <c r="K107" s="109"/>
      <c r="L107" s="109"/>
      <c r="M107" s="109"/>
      <c r="N107" s="109"/>
      <c r="O107" s="109">
        <f>IF('사양 입력'!$K$17="Y",1,0)</f>
        <v>0</v>
      </c>
      <c r="P107" s="109"/>
      <c r="Q107" s="109" t="s">
        <v>533</v>
      </c>
      <c r="R107" s="109"/>
      <c r="S107" s="109"/>
      <c r="T107" s="109"/>
      <c r="U107" s="109"/>
      <c r="V107" s="109"/>
      <c r="W107" s="109"/>
      <c r="X107" s="109" t="s">
        <v>224</v>
      </c>
      <c r="Y107" s="109"/>
      <c r="Z107" s="109"/>
      <c r="AA107" s="109"/>
      <c r="AB107" s="101">
        <f>VLOOKUP(D107,원가정보3!$E$5:$I$1048576,5,0)</f>
        <v>3149.3</v>
      </c>
      <c r="AC107" s="101">
        <f t="shared" si="8"/>
        <v>0</v>
      </c>
    </row>
    <row r="108" spans="1:30">
      <c r="A108" s="109"/>
      <c r="B108" s="109"/>
      <c r="C108" s="109"/>
      <c r="D108" s="111" t="s">
        <v>540</v>
      </c>
      <c r="E108" s="109"/>
      <c r="F108" s="109"/>
      <c r="G108" s="109" t="s">
        <v>541</v>
      </c>
      <c r="H108" s="111" t="s">
        <v>540</v>
      </c>
      <c r="I108" s="109"/>
      <c r="J108" s="109"/>
      <c r="K108" s="109"/>
      <c r="L108" s="109"/>
      <c r="M108" s="109"/>
      <c r="N108" s="109"/>
      <c r="O108" s="109">
        <f>IF('사양 입력'!$K$17="Y",1,0)</f>
        <v>0</v>
      </c>
      <c r="P108" s="109"/>
      <c r="Q108" s="109" t="s">
        <v>541</v>
      </c>
      <c r="R108" s="109"/>
      <c r="S108" s="109"/>
      <c r="T108" s="109"/>
      <c r="U108" s="109"/>
      <c r="V108" s="109"/>
      <c r="W108" s="109"/>
      <c r="X108" s="109" t="s">
        <v>224</v>
      </c>
      <c r="Y108" s="109"/>
      <c r="Z108" s="109"/>
      <c r="AA108" s="109"/>
      <c r="AB108" s="101">
        <f>VLOOKUP(D108,원가정보3!$E$5:$I$1048576,5,0)</f>
        <v>24360</v>
      </c>
      <c r="AC108" s="101">
        <f t="shared" si="8"/>
        <v>0</v>
      </c>
    </row>
    <row r="109" spans="1:30">
      <c r="A109" s="109"/>
      <c r="B109" s="109"/>
      <c r="C109" s="109"/>
      <c r="D109" s="111" t="s">
        <v>542</v>
      </c>
      <c r="E109" s="109"/>
      <c r="F109" s="109"/>
      <c r="G109" s="109" t="s">
        <v>543</v>
      </c>
      <c r="H109" s="111" t="s">
        <v>542</v>
      </c>
      <c r="I109" s="109"/>
      <c r="J109" s="109"/>
      <c r="K109" s="109"/>
      <c r="L109" s="109"/>
      <c r="M109" s="109"/>
      <c r="N109" s="109"/>
      <c r="O109" s="109">
        <f>IF('사양 입력'!$K$17="Y",1,0)</f>
        <v>0</v>
      </c>
      <c r="P109" s="109"/>
      <c r="Q109" s="109" t="s">
        <v>543</v>
      </c>
      <c r="R109" s="109"/>
      <c r="S109" s="109"/>
      <c r="T109" s="109"/>
      <c r="U109" s="109"/>
      <c r="V109" s="109"/>
      <c r="W109" s="109"/>
      <c r="X109" s="109" t="s">
        <v>224</v>
      </c>
      <c r="Y109" s="109"/>
      <c r="Z109" s="109"/>
      <c r="AA109" s="109"/>
      <c r="AB109" s="101">
        <f>VLOOKUP(D109,원가정보3!$E$5:$I$1048576,5,0)</f>
        <v>93775</v>
      </c>
      <c r="AC109" s="101">
        <f t="shared" si="8"/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FB9A-19F5-4EFD-A01F-235891A67B95}">
  <dimension ref="A1:P754"/>
  <sheetViews>
    <sheetView zoomScale="70" zoomScaleNormal="70" workbookViewId="0">
      <pane ySplit="4" topLeftCell="A5" activePane="bottomLeft" state="frozen"/>
      <selection activeCell="F18" sqref="F18"/>
      <selection pane="bottomLeft" activeCell="A5" sqref="A5"/>
    </sheetView>
  </sheetViews>
  <sheetFormatPr defaultColWidth="9" defaultRowHeight="17.399999999999999"/>
  <cols>
    <col min="1" max="1" width="9" style="1"/>
    <col min="2" max="2" width="14.09765625" style="1" bestFit="1" customWidth="1"/>
    <col min="3" max="3" width="50.3984375" style="1" bestFit="1" customWidth="1"/>
    <col min="4" max="4" width="15.19921875" style="1" bestFit="1" customWidth="1"/>
    <col min="5" max="5" width="16.09765625" style="1" bestFit="1" customWidth="1"/>
    <col min="6" max="6" width="50.19921875" style="1" bestFit="1" customWidth="1"/>
    <col min="7" max="7" width="52.8984375" style="1" bestFit="1" customWidth="1"/>
    <col min="8" max="8" width="14.19921875" style="41" bestFit="1" customWidth="1"/>
    <col min="9" max="9" width="14.5" style="118" bestFit="1" customWidth="1"/>
    <col min="10" max="10" width="25" style="1" bestFit="1" customWidth="1"/>
    <col min="11" max="11" width="9" style="1"/>
    <col min="12" max="12" width="19.19921875" style="1" bestFit="1" customWidth="1"/>
    <col min="13" max="13" width="13.5" style="1" bestFit="1" customWidth="1"/>
    <col min="14" max="14" width="13.09765625" style="1" bestFit="1" customWidth="1"/>
    <col min="15" max="15" width="9" style="1"/>
    <col min="16" max="16" width="56.69921875" style="1" bestFit="1" customWidth="1"/>
    <col min="17" max="16384" width="9" style="1"/>
  </cols>
  <sheetData>
    <row r="1" spans="1:16" customFormat="1" ht="18" thickBot="1">
      <c r="A1" t="s">
        <v>735</v>
      </c>
      <c r="F1" s="1"/>
      <c r="H1" s="40"/>
      <c r="I1" s="117"/>
      <c r="J1" s="117"/>
    </row>
    <row r="2" spans="1:16" customFormat="1">
      <c r="F2" s="1"/>
      <c r="H2" s="119"/>
      <c r="I2" s="176" t="s">
        <v>2453</v>
      </c>
      <c r="J2" s="176" t="s">
        <v>736</v>
      </c>
      <c r="M2" s="490" t="s">
        <v>2447</v>
      </c>
      <c r="N2" s="491">
        <f>M731/H731</f>
        <v>0</v>
      </c>
      <c r="P2" s="492" t="s">
        <v>2448</v>
      </c>
    </row>
    <row r="3" spans="1:16" customFormat="1" ht="17.25" customHeight="1" thickBot="1">
      <c r="F3" s="1"/>
      <c r="H3" s="119" t="s">
        <v>737</v>
      </c>
      <c r="I3" s="177">
        <v>1</v>
      </c>
      <c r="J3" s="177">
        <v>1.1000000000000001</v>
      </c>
      <c r="M3" s="1"/>
      <c r="P3" s="493" t="s">
        <v>2449</v>
      </c>
    </row>
    <row r="4" spans="1:16">
      <c r="A4" s="173" t="s">
        <v>88</v>
      </c>
      <c r="B4" s="173" t="s">
        <v>738</v>
      </c>
      <c r="C4" s="173" t="s">
        <v>739</v>
      </c>
      <c r="D4" s="173" t="s">
        <v>2454</v>
      </c>
      <c r="E4" s="173" t="s">
        <v>740</v>
      </c>
      <c r="F4" s="173" t="s">
        <v>741</v>
      </c>
      <c r="G4" s="173" t="s">
        <v>119</v>
      </c>
      <c r="H4" s="174" t="s">
        <v>742</v>
      </c>
      <c r="I4" s="175" t="s">
        <v>743</v>
      </c>
      <c r="J4" s="173" t="s">
        <v>744</v>
      </c>
      <c r="L4" s="1" t="s">
        <v>2450</v>
      </c>
      <c r="M4" s="1" t="s">
        <v>2451</v>
      </c>
      <c r="N4" s="1" t="s">
        <v>2452</v>
      </c>
    </row>
    <row r="5" spans="1:16">
      <c r="A5" s="111">
        <v>1</v>
      </c>
      <c r="B5" s="111" t="s">
        <v>745</v>
      </c>
      <c r="C5" s="111" t="s">
        <v>746</v>
      </c>
      <c r="D5" s="111" t="s">
        <v>747</v>
      </c>
      <c r="E5" s="111" t="s">
        <v>748</v>
      </c>
      <c r="F5" s="111" t="s">
        <v>749</v>
      </c>
      <c r="G5" s="111" t="s">
        <v>750</v>
      </c>
      <c r="H5" s="191">
        <v>1561130</v>
      </c>
      <c r="I5" s="172">
        <f t="shared" ref="I5:I68" si="0">IF(D5="Y",H5*$I$3,H5*$J$3)</f>
        <v>1561130</v>
      </c>
      <c r="J5" s="111"/>
      <c r="L5" s="41">
        <f>VLOOKUP(E5,[3]단가!B$4:M$724,12,0)</f>
        <v>1561130</v>
      </c>
      <c r="M5" s="118">
        <f>L5-H5</f>
        <v>0</v>
      </c>
      <c r="N5" s="481">
        <f>M5/H5</f>
        <v>0</v>
      </c>
    </row>
    <row r="6" spans="1:16">
      <c r="A6" s="111">
        <v>2</v>
      </c>
      <c r="B6" s="111" t="s">
        <v>745</v>
      </c>
      <c r="C6" s="111" t="s">
        <v>746</v>
      </c>
      <c r="D6" s="111" t="s">
        <v>747</v>
      </c>
      <c r="E6" s="111" t="s">
        <v>751</v>
      </c>
      <c r="F6" s="111" t="s">
        <v>749</v>
      </c>
      <c r="G6" s="111" t="s">
        <v>752</v>
      </c>
      <c r="H6" s="191">
        <v>1709655</v>
      </c>
      <c r="I6" s="172">
        <f t="shared" si="0"/>
        <v>1709655</v>
      </c>
      <c r="J6" s="111"/>
      <c r="L6" s="41">
        <f>VLOOKUP(E6,[3]단가!B$4:M$724,12,0)</f>
        <v>1709655</v>
      </c>
      <c r="M6" s="118">
        <f t="shared" ref="M6:M69" si="1">L6-H6</f>
        <v>0</v>
      </c>
      <c r="N6" s="481">
        <f t="shared" ref="N6:N69" si="2">M6/H6</f>
        <v>0</v>
      </c>
    </row>
    <row r="7" spans="1:16">
      <c r="A7" s="111">
        <v>3</v>
      </c>
      <c r="B7" s="111" t="s">
        <v>745</v>
      </c>
      <c r="C7" s="111" t="s">
        <v>746</v>
      </c>
      <c r="D7" s="111" t="s">
        <v>747</v>
      </c>
      <c r="E7" s="111" t="s">
        <v>753</v>
      </c>
      <c r="F7" s="111" t="s">
        <v>749</v>
      </c>
      <c r="G7" s="111" t="s">
        <v>754</v>
      </c>
      <c r="H7" s="191">
        <v>1957823</v>
      </c>
      <c r="I7" s="172">
        <f t="shared" si="0"/>
        <v>1957823</v>
      </c>
      <c r="J7" s="111"/>
      <c r="L7" s="41">
        <f>VLOOKUP(E7,[3]단가!B$4:M$724,12,0)</f>
        <v>1957823</v>
      </c>
      <c r="M7" s="118">
        <f t="shared" si="1"/>
        <v>0</v>
      </c>
      <c r="N7" s="481">
        <f t="shared" si="2"/>
        <v>0</v>
      </c>
    </row>
    <row r="8" spans="1:16">
      <c r="A8" s="111">
        <v>4</v>
      </c>
      <c r="B8" s="111" t="s">
        <v>745</v>
      </c>
      <c r="C8" s="111" t="s">
        <v>746</v>
      </c>
      <c r="D8" s="111" t="s">
        <v>747</v>
      </c>
      <c r="E8" s="111" t="s">
        <v>755</v>
      </c>
      <c r="F8" s="111" t="s">
        <v>749</v>
      </c>
      <c r="G8" s="111" t="s">
        <v>756</v>
      </c>
      <c r="H8" s="191">
        <v>2308079</v>
      </c>
      <c r="I8" s="172">
        <f t="shared" si="0"/>
        <v>2308079</v>
      </c>
      <c r="J8" s="111"/>
      <c r="L8" s="41">
        <f>VLOOKUP(E8,[3]단가!B$4:M$724,12,0)</f>
        <v>2308079</v>
      </c>
      <c r="M8" s="118">
        <f t="shared" si="1"/>
        <v>0</v>
      </c>
      <c r="N8" s="481">
        <f t="shared" si="2"/>
        <v>0</v>
      </c>
    </row>
    <row r="9" spans="1:16">
      <c r="A9" s="111">
        <v>5</v>
      </c>
      <c r="B9" s="111" t="s">
        <v>745</v>
      </c>
      <c r="C9" s="111" t="s">
        <v>746</v>
      </c>
      <c r="D9" s="111" t="s">
        <v>747</v>
      </c>
      <c r="E9" s="111" t="s">
        <v>757</v>
      </c>
      <c r="F9" s="111" t="s">
        <v>758</v>
      </c>
      <c r="G9" s="111" t="s">
        <v>759</v>
      </c>
      <c r="H9" s="191">
        <v>667870</v>
      </c>
      <c r="I9" s="172">
        <f t="shared" si="0"/>
        <v>667870</v>
      </c>
      <c r="J9" s="111"/>
      <c r="L9" s="41">
        <f>VLOOKUP(E9,[3]단가!B$4:M$724,12,0)</f>
        <v>667870</v>
      </c>
      <c r="M9" s="118">
        <f t="shared" si="1"/>
        <v>0</v>
      </c>
      <c r="N9" s="481">
        <f t="shared" si="2"/>
        <v>0</v>
      </c>
    </row>
    <row r="10" spans="1:16">
      <c r="A10" s="111">
        <v>6</v>
      </c>
      <c r="B10" s="111" t="s">
        <v>745</v>
      </c>
      <c r="C10" s="111" t="s">
        <v>746</v>
      </c>
      <c r="D10" s="111" t="s">
        <v>747</v>
      </c>
      <c r="E10" s="111" t="s">
        <v>760</v>
      </c>
      <c r="F10" s="111" t="s">
        <v>758</v>
      </c>
      <c r="G10" s="111" t="s">
        <v>761</v>
      </c>
      <c r="H10" s="191">
        <v>680050</v>
      </c>
      <c r="I10" s="172">
        <f t="shared" si="0"/>
        <v>680050</v>
      </c>
      <c r="J10" s="111"/>
      <c r="L10" s="41">
        <f>VLOOKUP(E10,[3]단가!B$4:M$724,12,0)</f>
        <v>680050</v>
      </c>
      <c r="M10" s="118">
        <f t="shared" si="1"/>
        <v>0</v>
      </c>
      <c r="N10" s="481">
        <f t="shared" si="2"/>
        <v>0</v>
      </c>
    </row>
    <row r="11" spans="1:16">
      <c r="A11" s="111">
        <v>7</v>
      </c>
      <c r="B11" s="111" t="s">
        <v>745</v>
      </c>
      <c r="C11" s="111" t="s">
        <v>746</v>
      </c>
      <c r="D11" s="111" t="s">
        <v>747</v>
      </c>
      <c r="E11" s="111" t="s">
        <v>762</v>
      </c>
      <c r="F11" s="111" t="s">
        <v>758</v>
      </c>
      <c r="G11" s="111" t="s">
        <v>763</v>
      </c>
      <c r="H11" s="191">
        <v>693245</v>
      </c>
      <c r="I11" s="172">
        <f t="shared" si="0"/>
        <v>693245</v>
      </c>
      <c r="J11" s="111"/>
      <c r="L11" s="41">
        <f>VLOOKUP(E11,[3]단가!B$4:M$724,12,0)</f>
        <v>693245</v>
      </c>
      <c r="M11" s="118">
        <f t="shared" si="1"/>
        <v>0</v>
      </c>
      <c r="N11" s="481">
        <f t="shared" si="2"/>
        <v>0</v>
      </c>
    </row>
    <row r="12" spans="1:16">
      <c r="A12" s="111">
        <v>8</v>
      </c>
      <c r="B12" s="111" t="s">
        <v>745</v>
      </c>
      <c r="C12" s="111" t="s">
        <v>746</v>
      </c>
      <c r="D12" s="111" t="s">
        <v>747</v>
      </c>
      <c r="E12" s="111" t="s">
        <v>764</v>
      </c>
      <c r="F12" s="111" t="s">
        <v>758</v>
      </c>
      <c r="G12" s="111" t="s">
        <v>765</v>
      </c>
      <c r="H12" s="191">
        <v>1117515</v>
      </c>
      <c r="I12" s="172">
        <f t="shared" si="0"/>
        <v>1117515</v>
      </c>
      <c r="J12" s="111"/>
      <c r="L12" s="41">
        <f>VLOOKUP(E12,[3]단가!B$4:M$724,12,0)</f>
        <v>1117515</v>
      </c>
      <c r="M12" s="118">
        <f t="shared" si="1"/>
        <v>0</v>
      </c>
      <c r="N12" s="481">
        <f t="shared" si="2"/>
        <v>0</v>
      </c>
    </row>
    <row r="13" spans="1:16">
      <c r="A13" s="111">
        <v>9</v>
      </c>
      <c r="B13" s="111" t="s">
        <v>745</v>
      </c>
      <c r="C13" s="111" t="s">
        <v>746</v>
      </c>
      <c r="D13" s="111" t="s">
        <v>747</v>
      </c>
      <c r="E13" s="111" t="s">
        <v>766</v>
      </c>
      <c r="F13" s="111" t="s">
        <v>758</v>
      </c>
      <c r="G13" s="111" t="s">
        <v>767</v>
      </c>
      <c r="H13" s="191">
        <v>667870</v>
      </c>
      <c r="I13" s="172">
        <f t="shared" si="0"/>
        <v>667870</v>
      </c>
      <c r="J13" s="111"/>
      <c r="L13" s="41">
        <f>VLOOKUP(E13,[3]단가!B$4:M$724,12,0)</f>
        <v>667870</v>
      </c>
      <c r="M13" s="118">
        <f t="shared" si="1"/>
        <v>0</v>
      </c>
      <c r="N13" s="481">
        <f t="shared" si="2"/>
        <v>0</v>
      </c>
    </row>
    <row r="14" spans="1:16">
      <c r="A14" s="111">
        <v>10</v>
      </c>
      <c r="B14" s="111" t="s">
        <v>745</v>
      </c>
      <c r="C14" s="111" t="s">
        <v>746</v>
      </c>
      <c r="D14" s="111" t="s">
        <v>747</v>
      </c>
      <c r="E14" s="111" t="s">
        <v>768</v>
      </c>
      <c r="F14" s="111" t="s">
        <v>758</v>
      </c>
      <c r="G14" s="111" t="s">
        <v>769</v>
      </c>
      <c r="H14" s="191">
        <v>680050</v>
      </c>
      <c r="I14" s="172">
        <f t="shared" si="0"/>
        <v>680050</v>
      </c>
      <c r="J14" s="111"/>
      <c r="L14" s="41">
        <f>VLOOKUP(E14,[3]단가!B$4:M$724,12,0)</f>
        <v>680050</v>
      </c>
      <c r="M14" s="118">
        <f t="shared" si="1"/>
        <v>0</v>
      </c>
      <c r="N14" s="481">
        <f t="shared" si="2"/>
        <v>0</v>
      </c>
    </row>
    <row r="15" spans="1:16">
      <c r="A15" s="111">
        <v>11</v>
      </c>
      <c r="B15" s="111" t="s">
        <v>745</v>
      </c>
      <c r="C15" s="111" t="s">
        <v>746</v>
      </c>
      <c r="D15" s="111" t="s">
        <v>747</v>
      </c>
      <c r="E15" s="111" t="s">
        <v>770</v>
      </c>
      <c r="F15" s="111" t="s">
        <v>758</v>
      </c>
      <c r="G15" s="111" t="s">
        <v>771</v>
      </c>
      <c r="H15" s="191">
        <v>693245</v>
      </c>
      <c r="I15" s="172">
        <f t="shared" si="0"/>
        <v>693245</v>
      </c>
      <c r="J15" s="111"/>
      <c r="L15" s="41">
        <f>VLOOKUP(E15,[3]단가!B$4:M$724,12,0)</f>
        <v>693245</v>
      </c>
      <c r="M15" s="118">
        <f t="shared" si="1"/>
        <v>0</v>
      </c>
      <c r="N15" s="481">
        <f t="shared" si="2"/>
        <v>0</v>
      </c>
    </row>
    <row r="16" spans="1:16">
      <c r="A16" s="111">
        <v>12</v>
      </c>
      <c r="B16" s="111" t="s">
        <v>745</v>
      </c>
      <c r="C16" s="111" t="s">
        <v>746</v>
      </c>
      <c r="D16" s="111" t="s">
        <v>747</v>
      </c>
      <c r="E16" s="111" t="s">
        <v>772</v>
      </c>
      <c r="F16" s="111" t="s">
        <v>758</v>
      </c>
      <c r="G16" s="111" t="s">
        <v>773</v>
      </c>
      <c r="H16" s="191">
        <v>1117515</v>
      </c>
      <c r="I16" s="172">
        <f t="shared" si="0"/>
        <v>1117515</v>
      </c>
      <c r="J16" s="111"/>
      <c r="L16" s="41">
        <f>VLOOKUP(E16,[3]단가!B$4:M$724,12,0)</f>
        <v>1117515</v>
      </c>
      <c r="M16" s="118">
        <f t="shared" si="1"/>
        <v>0</v>
      </c>
      <c r="N16" s="481">
        <f t="shared" si="2"/>
        <v>0</v>
      </c>
    </row>
    <row r="17" spans="1:14">
      <c r="A17" s="111">
        <v>13</v>
      </c>
      <c r="B17" s="111" t="s">
        <v>745</v>
      </c>
      <c r="C17" s="111" t="s">
        <v>746</v>
      </c>
      <c r="D17" s="111" t="s">
        <v>747</v>
      </c>
      <c r="E17" s="111" t="s">
        <v>774</v>
      </c>
      <c r="F17" s="111" t="s">
        <v>758</v>
      </c>
      <c r="G17" s="111" t="s">
        <v>775</v>
      </c>
      <c r="H17" s="191">
        <v>667870</v>
      </c>
      <c r="I17" s="172">
        <f t="shared" si="0"/>
        <v>667870</v>
      </c>
      <c r="J17" s="111"/>
      <c r="L17" s="41">
        <f>VLOOKUP(E17,[3]단가!B$4:M$724,12,0)</f>
        <v>667870</v>
      </c>
      <c r="M17" s="118">
        <f t="shared" si="1"/>
        <v>0</v>
      </c>
      <c r="N17" s="481">
        <f t="shared" si="2"/>
        <v>0</v>
      </c>
    </row>
    <row r="18" spans="1:14">
      <c r="A18" s="111">
        <v>14</v>
      </c>
      <c r="B18" s="111" t="s">
        <v>745</v>
      </c>
      <c r="C18" s="111" t="s">
        <v>746</v>
      </c>
      <c r="D18" s="111" t="s">
        <v>747</v>
      </c>
      <c r="E18" s="111" t="s">
        <v>776</v>
      </c>
      <c r="F18" s="111" t="s">
        <v>758</v>
      </c>
      <c r="G18" s="111" t="s">
        <v>777</v>
      </c>
      <c r="H18" s="191">
        <v>680050</v>
      </c>
      <c r="I18" s="172">
        <f t="shared" si="0"/>
        <v>680050</v>
      </c>
      <c r="J18" s="111"/>
      <c r="L18" s="41">
        <f>VLOOKUP(E18,[3]단가!B$4:M$724,12,0)</f>
        <v>680050</v>
      </c>
      <c r="M18" s="118">
        <f t="shared" si="1"/>
        <v>0</v>
      </c>
      <c r="N18" s="481">
        <f t="shared" si="2"/>
        <v>0</v>
      </c>
    </row>
    <row r="19" spans="1:14">
      <c r="A19" s="111">
        <v>15</v>
      </c>
      <c r="B19" s="111" t="s">
        <v>745</v>
      </c>
      <c r="C19" s="111" t="s">
        <v>746</v>
      </c>
      <c r="D19" s="111" t="s">
        <v>747</v>
      </c>
      <c r="E19" s="111" t="s">
        <v>778</v>
      </c>
      <c r="F19" s="111" t="s">
        <v>758</v>
      </c>
      <c r="G19" s="111" t="s">
        <v>779</v>
      </c>
      <c r="H19" s="191">
        <v>693245</v>
      </c>
      <c r="I19" s="172">
        <f t="shared" si="0"/>
        <v>693245</v>
      </c>
      <c r="J19" s="111"/>
      <c r="L19" s="41">
        <f>VLOOKUP(E19,[3]단가!B$4:M$724,12,0)</f>
        <v>693245</v>
      </c>
      <c r="M19" s="118">
        <f t="shared" si="1"/>
        <v>0</v>
      </c>
      <c r="N19" s="481">
        <f t="shared" si="2"/>
        <v>0</v>
      </c>
    </row>
    <row r="20" spans="1:14">
      <c r="A20" s="111">
        <v>16</v>
      </c>
      <c r="B20" s="111" t="s">
        <v>745</v>
      </c>
      <c r="C20" s="111" t="s">
        <v>746</v>
      </c>
      <c r="D20" s="111" t="s">
        <v>747</v>
      </c>
      <c r="E20" s="111" t="s">
        <v>780</v>
      </c>
      <c r="F20" s="111" t="s">
        <v>758</v>
      </c>
      <c r="G20" s="111" t="s">
        <v>781</v>
      </c>
      <c r="H20" s="191">
        <v>1117515</v>
      </c>
      <c r="I20" s="172">
        <f t="shared" si="0"/>
        <v>1117515</v>
      </c>
      <c r="J20" s="111"/>
      <c r="L20" s="41">
        <f>VLOOKUP(E20,[3]단가!B$4:M$724,12,0)</f>
        <v>1117515</v>
      </c>
      <c r="M20" s="118">
        <f t="shared" si="1"/>
        <v>0</v>
      </c>
      <c r="N20" s="481">
        <f t="shared" si="2"/>
        <v>0</v>
      </c>
    </row>
    <row r="21" spans="1:14">
      <c r="A21" s="111">
        <v>17</v>
      </c>
      <c r="B21" s="111" t="s">
        <v>745</v>
      </c>
      <c r="C21" s="111" t="s">
        <v>746</v>
      </c>
      <c r="D21" s="111" t="s">
        <v>747</v>
      </c>
      <c r="E21" s="111" t="s">
        <v>782</v>
      </c>
      <c r="F21" s="111" t="s">
        <v>783</v>
      </c>
      <c r="G21" s="111" t="s">
        <v>784</v>
      </c>
      <c r="H21" s="191">
        <v>667870</v>
      </c>
      <c r="I21" s="172">
        <f t="shared" si="0"/>
        <v>667870</v>
      </c>
      <c r="J21" s="111"/>
      <c r="L21" s="41">
        <f>VLOOKUP(E21,[3]단가!B$4:M$724,12,0)</f>
        <v>667870</v>
      </c>
      <c r="M21" s="118">
        <f t="shared" si="1"/>
        <v>0</v>
      </c>
      <c r="N21" s="481">
        <f t="shared" si="2"/>
        <v>0</v>
      </c>
    </row>
    <row r="22" spans="1:14">
      <c r="A22" s="111">
        <v>18</v>
      </c>
      <c r="B22" s="111" t="s">
        <v>745</v>
      </c>
      <c r="C22" s="111" t="s">
        <v>746</v>
      </c>
      <c r="D22" s="111" t="s">
        <v>747</v>
      </c>
      <c r="E22" s="111" t="s">
        <v>785</v>
      </c>
      <c r="F22" s="111" t="s">
        <v>783</v>
      </c>
      <c r="G22" s="111" t="s">
        <v>786</v>
      </c>
      <c r="H22" s="191">
        <v>680050</v>
      </c>
      <c r="I22" s="172">
        <f t="shared" si="0"/>
        <v>680050</v>
      </c>
      <c r="J22" s="111"/>
      <c r="L22" s="41">
        <f>VLOOKUP(E22,[3]단가!B$4:M$724,12,0)</f>
        <v>680050</v>
      </c>
      <c r="M22" s="118">
        <f t="shared" si="1"/>
        <v>0</v>
      </c>
      <c r="N22" s="481">
        <f t="shared" si="2"/>
        <v>0</v>
      </c>
    </row>
    <row r="23" spans="1:14">
      <c r="A23" s="111">
        <v>19</v>
      </c>
      <c r="B23" s="111" t="s">
        <v>745</v>
      </c>
      <c r="C23" s="111" t="s">
        <v>746</v>
      </c>
      <c r="D23" s="111" t="s">
        <v>747</v>
      </c>
      <c r="E23" s="111" t="s">
        <v>787</v>
      </c>
      <c r="F23" s="111" t="s">
        <v>783</v>
      </c>
      <c r="G23" s="111" t="s">
        <v>788</v>
      </c>
      <c r="H23" s="191">
        <v>693245</v>
      </c>
      <c r="I23" s="172">
        <f t="shared" si="0"/>
        <v>693245</v>
      </c>
      <c r="J23" s="111"/>
      <c r="L23" s="41">
        <f>VLOOKUP(E23,[3]단가!B$4:M$724,12,0)</f>
        <v>693245</v>
      </c>
      <c r="M23" s="118">
        <f t="shared" si="1"/>
        <v>0</v>
      </c>
      <c r="N23" s="481">
        <f t="shared" si="2"/>
        <v>0</v>
      </c>
    </row>
    <row r="24" spans="1:14">
      <c r="A24" s="111">
        <v>20</v>
      </c>
      <c r="B24" s="111" t="s">
        <v>745</v>
      </c>
      <c r="C24" s="111" t="s">
        <v>746</v>
      </c>
      <c r="D24" s="111" t="s">
        <v>747</v>
      </c>
      <c r="E24" s="111" t="s">
        <v>789</v>
      </c>
      <c r="F24" s="111" t="s">
        <v>783</v>
      </c>
      <c r="G24" s="111" t="s">
        <v>790</v>
      </c>
      <c r="H24" s="191">
        <v>1117515</v>
      </c>
      <c r="I24" s="172">
        <f t="shared" si="0"/>
        <v>1117515</v>
      </c>
      <c r="J24" s="111"/>
      <c r="L24" s="41">
        <f>VLOOKUP(E24,[3]단가!B$4:M$724,12,0)</f>
        <v>1117515</v>
      </c>
      <c r="M24" s="118">
        <f t="shared" si="1"/>
        <v>0</v>
      </c>
      <c r="N24" s="481">
        <f t="shared" si="2"/>
        <v>0</v>
      </c>
    </row>
    <row r="25" spans="1:14">
      <c r="A25" s="111">
        <v>21</v>
      </c>
      <c r="B25" s="111" t="s">
        <v>745</v>
      </c>
      <c r="C25" s="111" t="s">
        <v>746</v>
      </c>
      <c r="D25" s="111" t="s">
        <v>747</v>
      </c>
      <c r="E25" s="111" t="s">
        <v>791</v>
      </c>
      <c r="F25" s="111" t="s">
        <v>783</v>
      </c>
      <c r="G25" s="111" t="s">
        <v>792</v>
      </c>
      <c r="H25" s="191">
        <v>667870</v>
      </c>
      <c r="I25" s="172">
        <f t="shared" si="0"/>
        <v>667870</v>
      </c>
      <c r="J25" s="111"/>
      <c r="L25" s="41">
        <f>VLOOKUP(E25,[3]단가!B$4:M$724,12,0)</f>
        <v>667870</v>
      </c>
      <c r="M25" s="118">
        <f t="shared" si="1"/>
        <v>0</v>
      </c>
      <c r="N25" s="481">
        <f t="shared" si="2"/>
        <v>0</v>
      </c>
    </row>
    <row r="26" spans="1:14">
      <c r="A26" s="111">
        <v>22</v>
      </c>
      <c r="B26" s="111" t="s">
        <v>745</v>
      </c>
      <c r="C26" s="111" t="s">
        <v>746</v>
      </c>
      <c r="D26" s="111" t="s">
        <v>747</v>
      </c>
      <c r="E26" s="111" t="s">
        <v>793</v>
      </c>
      <c r="F26" s="111" t="s">
        <v>783</v>
      </c>
      <c r="G26" s="111" t="s">
        <v>794</v>
      </c>
      <c r="H26" s="191">
        <v>680050</v>
      </c>
      <c r="I26" s="172">
        <f t="shared" si="0"/>
        <v>680050</v>
      </c>
      <c r="J26" s="111"/>
      <c r="L26" s="41">
        <f>VLOOKUP(E26,[3]단가!B$4:M$724,12,0)</f>
        <v>680050</v>
      </c>
      <c r="M26" s="118">
        <f t="shared" si="1"/>
        <v>0</v>
      </c>
      <c r="N26" s="481">
        <f t="shared" si="2"/>
        <v>0</v>
      </c>
    </row>
    <row r="27" spans="1:14">
      <c r="A27" s="111">
        <v>23</v>
      </c>
      <c r="B27" s="111" t="s">
        <v>745</v>
      </c>
      <c r="C27" s="111" t="s">
        <v>746</v>
      </c>
      <c r="D27" s="111" t="s">
        <v>747</v>
      </c>
      <c r="E27" s="111" t="s">
        <v>795</v>
      </c>
      <c r="F27" s="111" t="s">
        <v>783</v>
      </c>
      <c r="G27" s="111" t="s">
        <v>796</v>
      </c>
      <c r="H27" s="191">
        <v>693245</v>
      </c>
      <c r="I27" s="172">
        <f t="shared" si="0"/>
        <v>693245</v>
      </c>
      <c r="J27" s="111"/>
      <c r="L27" s="41">
        <f>VLOOKUP(E27,[3]단가!B$4:M$724,12,0)</f>
        <v>693245</v>
      </c>
      <c r="M27" s="118">
        <f t="shared" si="1"/>
        <v>0</v>
      </c>
      <c r="N27" s="481">
        <f t="shared" si="2"/>
        <v>0</v>
      </c>
    </row>
    <row r="28" spans="1:14">
      <c r="A28" s="111">
        <v>24</v>
      </c>
      <c r="B28" s="111" t="s">
        <v>745</v>
      </c>
      <c r="C28" s="111" t="s">
        <v>746</v>
      </c>
      <c r="D28" s="111" t="s">
        <v>747</v>
      </c>
      <c r="E28" s="111" t="s">
        <v>797</v>
      </c>
      <c r="F28" s="111" t="s">
        <v>783</v>
      </c>
      <c r="G28" s="111" t="s">
        <v>798</v>
      </c>
      <c r="H28" s="191">
        <v>1117515</v>
      </c>
      <c r="I28" s="172">
        <f t="shared" si="0"/>
        <v>1117515</v>
      </c>
      <c r="J28" s="111"/>
      <c r="L28" s="41">
        <f>VLOOKUP(E28,[3]단가!B$4:M$724,12,0)</f>
        <v>1117515</v>
      </c>
      <c r="M28" s="118">
        <f t="shared" si="1"/>
        <v>0</v>
      </c>
      <c r="N28" s="481">
        <f t="shared" si="2"/>
        <v>0</v>
      </c>
    </row>
    <row r="29" spans="1:14">
      <c r="A29" s="111">
        <v>25</v>
      </c>
      <c r="B29" s="111" t="s">
        <v>745</v>
      </c>
      <c r="C29" s="111" t="s">
        <v>746</v>
      </c>
      <c r="D29" s="111" t="s">
        <v>747</v>
      </c>
      <c r="E29" s="111" t="s">
        <v>799</v>
      </c>
      <c r="F29" s="111" t="s">
        <v>783</v>
      </c>
      <c r="G29" s="111" t="s">
        <v>800</v>
      </c>
      <c r="H29" s="191">
        <v>667870</v>
      </c>
      <c r="I29" s="172">
        <f t="shared" si="0"/>
        <v>667870</v>
      </c>
      <c r="J29" s="111"/>
      <c r="L29" s="41">
        <f>VLOOKUP(E29,[3]단가!B$4:M$724,12,0)</f>
        <v>667870</v>
      </c>
      <c r="M29" s="118">
        <f t="shared" si="1"/>
        <v>0</v>
      </c>
      <c r="N29" s="481">
        <f t="shared" si="2"/>
        <v>0</v>
      </c>
    </row>
    <row r="30" spans="1:14">
      <c r="A30" s="111">
        <v>26</v>
      </c>
      <c r="B30" s="111" t="s">
        <v>745</v>
      </c>
      <c r="C30" s="111" t="s">
        <v>746</v>
      </c>
      <c r="D30" s="111" t="s">
        <v>747</v>
      </c>
      <c r="E30" s="111" t="s">
        <v>801</v>
      </c>
      <c r="F30" s="111" t="s">
        <v>783</v>
      </c>
      <c r="G30" s="111" t="s">
        <v>802</v>
      </c>
      <c r="H30" s="191">
        <v>680050</v>
      </c>
      <c r="I30" s="172">
        <f t="shared" si="0"/>
        <v>680050</v>
      </c>
      <c r="J30" s="111"/>
      <c r="L30" s="41">
        <f>VLOOKUP(E30,[3]단가!B$4:M$724,12,0)</f>
        <v>680050</v>
      </c>
      <c r="M30" s="118">
        <f t="shared" si="1"/>
        <v>0</v>
      </c>
      <c r="N30" s="481">
        <f t="shared" si="2"/>
        <v>0</v>
      </c>
    </row>
    <row r="31" spans="1:14">
      <c r="A31" s="111">
        <v>27</v>
      </c>
      <c r="B31" s="111" t="s">
        <v>745</v>
      </c>
      <c r="C31" s="111" t="s">
        <v>746</v>
      </c>
      <c r="D31" s="111" t="s">
        <v>747</v>
      </c>
      <c r="E31" s="111" t="s">
        <v>803</v>
      </c>
      <c r="F31" s="111" t="s">
        <v>783</v>
      </c>
      <c r="G31" s="111" t="s">
        <v>804</v>
      </c>
      <c r="H31" s="191">
        <v>693245</v>
      </c>
      <c r="I31" s="172">
        <f t="shared" si="0"/>
        <v>693245</v>
      </c>
      <c r="J31" s="111"/>
      <c r="L31" s="41">
        <f>VLOOKUP(E31,[3]단가!B$4:M$724,12,0)</f>
        <v>693245</v>
      </c>
      <c r="M31" s="118">
        <f t="shared" si="1"/>
        <v>0</v>
      </c>
      <c r="N31" s="481">
        <f t="shared" si="2"/>
        <v>0</v>
      </c>
    </row>
    <row r="32" spans="1:14">
      <c r="A32" s="111">
        <v>28</v>
      </c>
      <c r="B32" s="111" t="s">
        <v>745</v>
      </c>
      <c r="C32" s="111" t="s">
        <v>746</v>
      </c>
      <c r="D32" s="111" t="s">
        <v>747</v>
      </c>
      <c r="E32" s="111" t="s">
        <v>805</v>
      </c>
      <c r="F32" s="111" t="s">
        <v>783</v>
      </c>
      <c r="G32" s="111" t="s">
        <v>806</v>
      </c>
      <c r="H32" s="191">
        <v>1117515</v>
      </c>
      <c r="I32" s="172">
        <f t="shared" si="0"/>
        <v>1117515</v>
      </c>
      <c r="J32" s="111"/>
      <c r="L32" s="41">
        <f>VLOOKUP(E32,[3]단가!B$4:M$724,12,0)</f>
        <v>1117515</v>
      </c>
      <c r="M32" s="118">
        <f t="shared" si="1"/>
        <v>0</v>
      </c>
      <c r="N32" s="481">
        <f t="shared" si="2"/>
        <v>0</v>
      </c>
    </row>
    <row r="33" spans="1:14">
      <c r="A33" s="111">
        <v>29</v>
      </c>
      <c r="B33" s="111" t="s">
        <v>745</v>
      </c>
      <c r="C33" s="111" t="s">
        <v>746</v>
      </c>
      <c r="D33" s="111" t="s">
        <v>747</v>
      </c>
      <c r="E33" s="111" t="s">
        <v>807</v>
      </c>
      <c r="F33" s="111" t="s">
        <v>808</v>
      </c>
      <c r="G33" s="111" t="s">
        <v>809</v>
      </c>
      <c r="H33" s="191">
        <v>667870</v>
      </c>
      <c r="I33" s="172">
        <f t="shared" si="0"/>
        <v>667870</v>
      </c>
      <c r="J33" s="111"/>
      <c r="L33" s="41">
        <f>VLOOKUP(E33,[3]단가!B$4:M$724,12,0)</f>
        <v>667870</v>
      </c>
      <c r="M33" s="118">
        <f t="shared" si="1"/>
        <v>0</v>
      </c>
      <c r="N33" s="481">
        <f t="shared" si="2"/>
        <v>0</v>
      </c>
    </row>
    <row r="34" spans="1:14">
      <c r="A34" s="111">
        <v>30</v>
      </c>
      <c r="B34" s="111" t="s">
        <v>745</v>
      </c>
      <c r="C34" s="111" t="s">
        <v>746</v>
      </c>
      <c r="D34" s="111" t="s">
        <v>747</v>
      </c>
      <c r="E34" s="111" t="s">
        <v>810</v>
      </c>
      <c r="F34" s="111" t="s">
        <v>808</v>
      </c>
      <c r="G34" s="111" t="s">
        <v>811</v>
      </c>
      <c r="H34" s="191">
        <v>680050</v>
      </c>
      <c r="I34" s="172">
        <f t="shared" si="0"/>
        <v>680050</v>
      </c>
      <c r="J34" s="111"/>
      <c r="L34" s="41">
        <f>VLOOKUP(E34,[3]단가!B$4:M$724,12,0)</f>
        <v>680050</v>
      </c>
      <c r="M34" s="118">
        <f t="shared" si="1"/>
        <v>0</v>
      </c>
      <c r="N34" s="481">
        <f t="shared" si="2"/>
        <v>0</v>
      </c>
    </row>
    <row r="35" spans="1:14">
      <c r="A35" s="111">
        <v>31</v>
      </c>
      <c r="B35" s="111" t="s">
        <v>745</v>
      </c>
      <c r="C35" s="111" t="s">
        <v>746</v>
      </c>
      <c r="D35" s="111" t="s">
        <v>747</v>
      </c>
      <c r="E35" s="111" t="s">
        <v>812</v>
      </c>
      <c r="F35" s="111" t="s">
        <v>808</v>
      </c>
      <c r="G35" s="111" t="s">
        <v>813</v>
      </c>
      <c r="H35" s="191">
        <v>693245</v>
      </c>
      <c r="I35" s="172">
        <f t="shared" si="0"/>
        <v>693245</v>
      </c>
      <c r="J35" s="111"/>
      <c r="L35" s="41">
        <f>VLOOKUP(E35,[3]단가!B$4:M$724,12,0)</f>
        <v>693245</v>
      </c>
      <c r="M35" s="118">
        <f t="shared" si="1"/>
        <v>0</v>
      </c>
      <c r="N35" s="481">
        <f t="shared" si="2"/>
        <v>0</v>
      </c>
    </row>
    <row r="36" spans="1:14">
      <c r="A36" s="111">
        <v>32</v>
      </c>
      <c r="B36" s="111" t="s">
        <v>745</v>
      </c>
      <c r="C36" s="111" t="s">
        <v>746</v>
      </c>
      <c r="D36" s="111" t="s">
        <v>747</v>
      </c>
      <c r="E36" s="111" t="s">
        <v>814</v>
      </c>
      <c r="F36" s="111" t="s">
        <v>808</v>
      </c>
      <c r="G36" s="111" t="s">
        <v>815</v>
      </c>
      <c r="H36" s="191">
        <v>1117515</v>
      </c>
      <c r="I36" s="172">
        <f t="shared" si="0"/>
        <v>1117515</v>
      </c>
      <c r="J36" s="111"/>
      <c r="L36" s="41">
        <f>VLOOKUP(E36,[3]단가!B$4:M$724,12,0)</f>
        <v>1117515</v>
      </c>
      <c r="M36" s="118">
        <f t="shared" si="1"/>
        <v>0</v>
      </c>
      <c r="N36" s="481">
        <f t="shared" si="2"/>
        <v>0</v>
      </c>
    </row>
    <row r="37" spans="1:14">
      <c r="A37" s="111">
        <v>33</v>
      </c>
      <c r="B37" s="111" t="s">
        <v>745</v>
      </c>
      <c r="C37" s="111" t="s">
        <v>746</v>
      </c>
      <c r="D37" s="111" t="s">
        <v>747</v>
      </c>
      <c r="E37" s="111" t="s">
        <v>816</v>
      </c>
      <c r="F37" s="111" t="s">
        <v>817</v>
      </c>
      <c r="G37" s="111" t="s">
        <v>818</v>
      </c>
      <c r="H37" s="191">
        <v>2024052</v>
      </c>
      <c r="I37" s="172">
        <f t="shared" si="0"/>
        <v>2024052</v>
      </c>
      <c r="J37" s="111"/>
      <c r="L37" s="41">
        <f>VLOOKUP(E37,[3]단가!B$4:M$724,12,0)</f>
        <v>2024052</v>
      </c>
      <c r="M37" s="118">
        <f t="shared" si="1"/>
        <v>0</v>
      </c>
      <c r="N37" s="481">
        <f t="shared" si="2"/>
        <v>0</v>
      </c>
    </row>
    <row r="38" spans="1:14">
      <c r="A38" s="111">
        <v>34</v>
      </c>
      <c r="B38" s="111" t="s">
        <v>745</v>
      </c>
      <c r="C38" s="111" t="s">
        <v>746</v>
      </c>
      <c r="D38" s="111" t="s">
        <v>747</v>
      </c>
      <c r="E38" s="111" t="s">
        <v>819</v>
      </c>
      <c r="F38" s="111" t="s">
        <v>817</v>
      </c>
      <c r="G38" s="111" t="s">
        <v>820</v>
      </c>
      <c r="H38" s="191">
        <v>2045742</v>
      </c>
      <c r="I38" s="172">
        <f t="shared" si="0"/>
        <v>2045742</v>
      </c>
      <c r="J38" s="111"/>
      <c r="L38" s="41">
        <f>VLOOKUP(E38,[3]단가!B$4:M$724,12,0)</f>
        <v>2045742</v>
      </c>
      <c r="M38" s="118">
        <f t="shared" si="1"/>
        <v>0</v>
      </c>
      <c r="N38" s="481">
        <f t="shared" si="2"/>
        <v>0</v>
      </c>
    </row>
    <row r="39" spans="1:14">
      <c r="A39" s="111">
        <v>35</v>
      </c>
      <c r="B39" s="111" t="s">
        <v>745</v>
      </c>
      <c r="C39" s="111" t="s">
        <v>746</v>
      </c>
      <c r="D39" s="111" t="s">
        <v>747</v>
      </c>
      <c r="E39" s="111" t="s">
        <v>821</v>
      </c>
      <c r="F39" s="111" t="s">
        <v>817</v>
      </c>
      <c r="G39" s="111" t="s">
        <v>822</v>
      </c>
      <c r="H39" s="191">
        <v>2131215</v>
      </c>
      <c r="I39" s="172">
        <f t="shared" si="0"/>
        <v>2131215</v>
      </c>
      <c r="J39" s="111"/>
      <c r="L39" s="41">
        <f>VLOOKUP(E39,[3]단가!B$4:M$724,12,0)</f>
        <v>2131215</v>
      </c>
      <c r="M39" s="118">
        <f t="shared" si="1"/>
        <v>0</v>
      </c>
      <c r="N39" s="481">
        <f t="shared" si="2"/>
        <v>0</v>
      </c>
    </row>
    <row r="40" spans="1:14">
      <c r="A40" s="111">
        <v>36</v>
      </c>
      <c r="B40" s="111" t="s">
        <v>745</v>
      </c>
      <c r="C40" s="111" t="s">
        <v>746</v>
      </c>
      <c r="D40" s="111" t="s">
        <v>747</v>
      </c>
      <c r="E40" s="111" t="s">
        <v>823</v>
      </c>
      <c r="F40" s="111" t="s">
        <v>817</v>
      </c>
      <c r="G40" s="111" t="s">
        <v>824</v>
      </c>
      <c r="H40" s="191">
        <v>2698671</v>
      </c>
      <c r="I40" s="172">
        <f t="shared" si="0"/>
        <v>2698671</v>
      </c>
      <c r="J40" s="111"/>
      <c r="L40" s="41">
        <f>VLOOKUP(E40,[3]단가!B$4:M$724,12,0)</f>
        <v>2698671</v>
      </c>
      <c r="M40" s="118">
        <f t="shared" si="1"/>
        <v>0</v>
      </c>
      <c r="N40" s="481">
        <f t="shared" si="2"/>
        <v>0</v>
      </c>
    </row>
    <row r="41" spans="1:14">
      <c r="A41" s="111">
        <v>37</v>
      </c>
      <c r="B41" s="111" t="s">
        <v>745</v>
      </c>
      <c r="C41" s="111" t="s">
        <v>746</v>
      </c>
      <c r="D41" s="111" t="s">
        <v>747</v>
      </c>
      <c r="E41" s="111" t="s">
        <v>825</v>
      </c>
      <c r="F41" s="111" t="s">
        <v>826</v>
      </c>
      <c r="G41" s="111" t="s">
        <v>827</v>
      </c>
      <c r="H41" s="191">
        <v>1331375</v>
      </c>
      <c r="I41" s="172">
        <f t="shared" si="0"/>
        <v>1331375</v>
      </c>
      <c r="J41" s="111"/>
      <c r="L41" s="41">
        <f>VLOOKUP(E41,[3]단가!B$4:M$724,12,0)</f>
        <v>1331375</v>
      </c>
      <c r="M41" s="118">
        <f t="shared" si="1"/>
        <v>0</v>
      </c>
      <c r="N41" s="481">
        <f t="shared" si="2"/>
        <v>0</v>
      </c>
    </row>
    <row r="42" spans="1:14">
      <c r="A42" s="111">
        <v>38</v>
      </c>
      <c r="B42" s="111" t="s">
        <v>745</v>
      </c>
      <c r="C42" s="111" t="s">
        <v>746</v>
      </c>
      <c r="D42" s="111" t="s">
        <v>747</v>
      </c>
      <c r="E42" s="111" t="s">
        <v>828</v>
      </c>
      <c r="F42" s="111" t="s">
        <v>826</v>
      </c>
      <c r="G42" s="111" t="s">
        <v>829</v>
      </c>
      <c r="H42" s="191">
        <v>1357867</v>
      </c>
      <c r="I42" s="172">
        <f t="shared" si="0"/>
        <v>1357867</v>
      </c>
      <c r="J42" s="111"/>
      <c r="L42" s="41">
        <f>VLOOKUP(E42,[3]단가!B$4:M$724,12,0)</f>
        <v>1357867</v>
      </c>
      <c r="M42" s="118">
        <f t="shared" si="1"/>
        <v>0</v>
      </c>
      <c r="N42" s="481">
        <f t="shared" si="2"/>
        <v>0</v>
      </c>
    </row>
    <row r="43" spans="1:14">
      <c r="A43" s="111">
        <v>39</v>
      </c>
      <c r="B43" s="111" t="s">
        <v>745</v>
      </c>
      <c r="C43" s="111" t="s">
        <v>746</v>
      </c>
      <c r="D43" s="111" t="s">
        <v>747</v>
      </c>
      <c r="E43" s="111" t="s">
        <v>830</v>
      </c>
      <c r="F43" s="111" t="s">
        <v>826</v>
      </c>
      <c r="G43" s="111" t="s">
        <v>831</v>
      </c>
      <c r="H43" s="191">
        <v>1484843</v>
      </c>
      <c r="I43" s="172">
        <f t="shared" si="0"/>
        <v>1484843</v>
      </c>
      <c r="J43" s="111"/>
      <c r="L43" s="41">
        <f>VLOOKUP(E43,[3]단가!B$4:M$724,12,0)</f>
        <v>1484843</v>
      </c>
      <c r="M43" s="118">
        <f t="shared" si="1"/>
        <v>0</v>
      </c>
      <c r="N43" s="481">
        <f t="shared" si="2"/>
        <v>0</v>
      </c>
    </row>
    <row r="44" spans="1:14">
      <c r="A44" s="111">
        <v>40</v>
      </c>
      <c r="B44" s="111" t="s">
        <v>745</v>
      </c>
      <c r="C44" s="111" t="s">
        <v>746</v>
      </c>
      <c r="D44" s="111" t="s">
        <v>747</v>
      </c>
      <c r="E44" s="111" t="s">
        <v>832</v>
      </c>
      <c r="F44" s="111" t="s">
        <v>826</v>
      </c>
      <c r="G44" s="111" t="s">
        <v>833</v>
      </c>
      <c r="H44" s="191">
        <v>2070752</v>
      </c>
      <c r="I44" s="172">
        <f t="shared" si="0"/>
        <v>2070752</v>
      </c>
      <c r="J44" s="111"/>
      <c r="L44" s="41">
        <f>VLOOKUP(E44,[3]단가!B$4:M$724,12,0)</f>
        <v>2070752</v>
      </c>
      <c r="M44" s="118">
        <f t="shared" si="1"/>
        <v>0</v>
      </c>
      <c r="N44" s="481">
        <f t="shared" si="2"/>
        <v>0</v>
      </c>
    </row>
    <row r="45" spans="1:14">
      <c r="A45" s="111">
        <v>41</v>
      </c>
      <c r="B45" s="111" t="s">
        <v>745</v>
      </c>
      <c r="C45" s="111" t="s">
        <v>746</v>
      </c>
      <c r="D45" s="111" t="s">
        <v>747</v>
      </c>
      <c r="E45" s="111" t="s">
        <v>834</v>
      </c>
      <c r="F45" s="111" t="s">
        <v>826</v>
      </c>
      <c r="G45" s="111" t="s">
        <v>835</v>
      </c>
      <c r="H45" s="191">
        <v>1331375</v>
      </c>
      <c r="I45" s="172">
        <f t="shared" si="0"/>
        <v>1331375</v>
      </c>
      <c r="J45" s="111"/>
      <c r="L45" s="41">
        <f>VLOOKUP(E45,[3]단가!B$4:M$724,12,0)</f>
        <v>1331375</v>
      </c>
      <c r="M45" s="118">
        <f t="shared" si="1"/>
        <v>0</v>
      </c>
      <c r="N45" s="481">
        <f t="shared" si="2"/>
        <v>0</v>
      </c>
    </row>
    <row r="46" spans="1:14">
      <c r="A46" s="111">
        <v>42</v>
      </c>
      <c r="B46" s="111" t="s">
        <v>745</v>
      </c>
      <c r="C46" s="111" t="s">
        <v>746</v>
      </c>
      <c r="D46" s="111" t="s">
        <v>747</v>
      </c>
      <c r="E46" s="111" t="s">
        <v>836</v>
      </c>
      <c r="F46" s="111" t="s">
        <v>826</v>
      </c>
      <c r="G46" s="111" t="s">
        <v>837</v>
      </c>
      <c r="H46" s="191">
        <v>1357867</v>
      </c>
      <c r="I46" s="172">
        <f t="shared" si="0"/>
        <v>1357867</v>
      </c>
      <c r="J46" s="111"/>
      <c r="L46" s="41">
        <f>VLOOKUP(E46,[3]단가!B$4:M$724,12,0)</f>
        <v>1357867</v>
      </c>
      <c r="M46" s="118">
        <f t="shared" si="1"/>
        <v>0</v>
      </c>
      <c r="N46" s="481">
        <f t="shared" si="2"/>
        <v>0</v>
      </c>
    </row>
    <row r="47" spans="1:14">
      <c r="A47" s="111">
        <v>43</v>
      </c>
      <c r="B47" s="111" t="s">
        <v>745</v>
      </c>
      <c r="C47" s="111" t="s">
        <v>746</v>
      </c>
      <c r="D47" s="111" t="s">
        <v>747</v>
      </c>
      <c r="E47" s="111" t="s">
        <v>838</v>
      </c>
      <c r="F47" s="111" t="s">
        <v>826</v>
      </c>
      <c r="G47" s="111" t="s">
        <v>839</v>
      </c>
      <c r="H47" s="191">
        <v>1484843</v>
      </c>
      <c r="I47" s="172">
        <f t="shared" si="0"/>
        <v>1484843</v>
      </c>
      <c r="J47" s="111"/>
      <c r="L47" s="41">
        <f>VLOOKUP(E47,[3]단가!B$4:M$724,12,0)</f>
        <v>1484843</v>
      </c>
      <c r="M47" s="118">
        <f t="shared" si="1"/>
        <v>0</v>
      </c>
      <c r="N47" s="481">
        <f t="shared" si="2"/>
        <v>0</v>
      </c>
    </row>
    <row r="48" spans="1:14">
      <c r="A48" s="111">
        <v>44</v>
      </c>
      <c r="B48" s="111" t="s">
        <v>745</v>
      </c>
      <c r="C48" s="111" t="s">
        <v>746</v>
      </c>
      <c r="D48" s="111" t="s">
        <v>747</v>
      </c>
      <c r="E48" s="111" t="s">
        <v>840</v>
      </c>
      <c r="F48" s="111" t="s">
        <v>826</v>
      </c>
      <c r="G48" s="111" t="s">
        <v>841</v>
      </c>
      <c r="H48" s="191">
        <v>2070752</v>
      </c>
      <c r="I48" s="172">
        <f t="shared" si="0"/>
        <v>2070752</v>
      </c>
      <c r="J48" s="111"/>
      <c r="L48" s="41">
        <f>VLOOKUP(E48,[3]단가!B$4:M$724,12,0)</f>
        <v>2070752</v>
      </c>
      <c r="M48" s="118">
        <f t="shared" si="1"/>
        <v>0</v>
      </c>
      <c r="N48" s="481">
        <f t="shared" si="2"/>
        <v>0</v>
      </c>
    </row>
    <row r="49" spans="1:14">
      <c r="A49" s="111">
        <v>45</v>
      </c>
      <c r="B49" s="111" t="s">
        <v>745</v>
      </c>
      <c r="C49" s="111" t="s">
        <v>746</v>
      </c>
      <c r="D49" s="111" t="s">
        <v>747</v>
      </c>
      <c r="E49" s="111" t="s">
        <v>842</v>
      </c>
      <c r="F49" s="111" t="s">
        <v>826</v>
      </c>
      <c r="G49" s="111" t="s">
        <v>843</v>
      </c>
      <c r="H49" s="191">
        <v>1331375</v>
      </c>
      <c r="I49" s="172">
        <f t="shared" si="0"/>
        <v>1331375</v>
      </c>
      <c r="J49" s="111"/>
      <c r="L49" s="41">
        <f>VLOOKUP(E49,[3]단가!B$4:M$724,12,0)</f>
        <v>1331375</v>
      </c>
      <c r="M49" s="118">
        <f t="shared" si="1"/>
        <v>0</v>
      </c>
      <c r="N49" s="481">
        <f t="shared" si="2"/>
        <v>0</v>
      </c>
    </row>
    <row r="50" spans="1:14">
      <c r="A50" s="111">
        <v>46</v>
      </c>
      <c r="B50" s="111" t="s">
        <v>745</v>
      </c>
      <c r="C50" s="111" t="s">
        <v>746</v>
      </c>
      <c r="D50" s="111" t="s">
        <v>747</v>
      </c>
      <c r="E50" s="111" t="s">
        <v>844</v>
      </c>
      <c r="F50" s="111" t="s">
        <v>826</v>
      </c>
      <c r="G50" s="111" t="s">
        <v>845</v>
      </c>
      <c r="H50" s="191">
        <v>1357867</v>
      </c>
      <c r="I50" s="172">
        <f t="shared" si="0"/>
        <v>1357867</v>
      </c>
      <c r="J50" s="111"/>
      <c r="L50" s="41">
        <f>VLOOKUP(E50,[3]단가!B$4:M$724,12,0)</f>
        <v>1357867</v>
      </c>
      <c r="M50" s="118">
        <f t="shared" si="1"/>
        <v>0</v>
      </c>
      <c r="N50" s="481">
        <f t="shared" si="2"/>
        <v>0</v>
      </c>
    </row>
    <row r="51" spans="1:14">
      <c r="A51" s="111">
        <v>47</v>
      </c>
      <c r="B51" s="111" t="s">
        <v>745</v>
      </c>
      <c r="C51" s="111" t="s">
        <v>746</v>
      </c>
      <c r="D51" s="111" t="s">
        <v>747</v>
      </c>
      <c r="E51" s="111" t="s">
        <v>846</v>
      </c>
      <c r="F51" s="111" t="s">
        <v>826</v>
      </c>
      <c r="G51" s="111" t="s">
        <v>847</v>
      </c>
      <c r="H51" s="191">
        <v>1484843</v>
      </c>
      <c r="I51" s="172">
        <f t="shared" si="0"/>
        <v>1484843</v>
      </c>
      <c r="J51" s="111"/>
      <c r="L51" s="41">
        <f>VLOOKUP(E51,[3]단가!B$4:M$724,12,0)</f>
        <v>1484843</v>
      </c>
      <c r="M51" s="118">
        <f t="shared" si="1"/>
        <v>0</v>
      </c>
      <c r="N51" s="481">
        <f t="shared" si="2"/>
        <v>0</v>
      </c>
    </row>
    <row r="52" spans="1:14">
      <c r="A52" s="111">
        <v>48</v>
      </c>
      <c r="B52" s="111" t="s">
        <v>745</v>
      </c>
      <c r="C52" s="111" t="s">
        <v>746</v>
      </c>
      <c r="D52" s="111" t="s">
        <v>747</v>
      </c>
      <c r="E52" s="111" t="s">
        <v>848</v>
      </c>
      <c r="F52" s="111" t="s">
        <v>826</v>
      </c>
      <c r="G52" s="111" t="s">
        <v>849</v>
      </c>
      <c r="H52" s="191">
        <v>2070752</v>
      </c>
      <c r="I52" s="172">
        <f t="shared" si="0"/>
        <v>2070752</v>
      </c>
      <c r="J52" s="111"/>
      <c r="L52" s="41">
        <f>VLOOKUP(E52,[3]단가!B$4:M$724,12,0)</f>
        <v>2070752</v>
      </c>
      <c r="M52" s="118">
        <f t="shared" si="1"/>
        <v>0</v>
      </c>
      <c r="N52" s="481">
        <f t="shared" si="2"/>
        <v>0</v>
      </c>
    </row>
    <row r="53" spans="1:14">
      <c r="A53" s="111">
        <v>49</v>
      </c>
      <c r="B53" s="111" t="s">
        <v>745</v>
      </c>
      <c r="C53" s="111" t="s">
        <v>746</v>
      </c>
      <c r="D53" s="111" t="s">
        <v>747</v>
      </c>
      <c r="E53" s="111" t="s">
        <v>850</v>
      </c>
      <c r="F53" s="111" t="s">
        <v>851</v>
      </c>
      <c r="G53" s="111" t="s">
        <v>852</v>
      </c>
      <c r="H53" s="191">
        <v>1331375</v>
      </c>
      <c r="I53" s="172">
        <f t="shared" si="0"/>
        <v>1331375</v>
      </c>
      <c r="J53" s="111"/>
      <c r="L53" s="41">
        <f>VLOOKUP(E53,[3]단가!B$4:M$724,12,0)</f>
        <v>1331375</v>
      </c>
      <c r="M53" s="118">
        <f t="shared" si="1"/>
        <v>0</v>
      </c>
      <c r="N53" s="481">
        <f t="shared" si="2"/>
        <v>0</v>
      </c>
    </row>
    <row r="54" spans="1:14">
      <c r="A54" s="111">
        <v>50</v>
      </c>
      <c r="B54" s="111" t="s">
        <v>745</v>
      </c>
      <c r="C54" s="111" t="s">
        <v>746</v>
      </c>
      <c r="D54" s="111" t="s">
        <v>747</v>
      </c>
      <c r="E54" s="111" t="s">
        <v>853</v>
      </c>
      <c r="F54" s="111" t="s">
        <v>851</v>
      </c>
      <c r="G54" s="111" t="s">
        <v>854</v>
      </c>
      <c r="H54" s="191">
        <v>1357867</v>
      </c>
      <c r="I54" s="172">
        <f t="shared" si="0"/>
        <v>1357867</v>
      </c>
      <c r="J54" s="111"/>
      <c r="L54" s="41">
        <f>VLOOKUP(E54,[3]단가!B$4:M$724,12,0)</f>
        <v>1357867</v>
      </c>
      <c r="M54" s="118">
        <f t="shared" si="1"/>
        <v>0</v>
      </c>
      <c r="N54" s="481">
        <f t="shared" si="2"/>
        <v>0</v>
      </c>
    </row>
    <row r="55" spans="1:14">
      <c r="A55" s="111">
        <v>51</v>
      </c>
      <c r="B55" s="111" t="s">
        <v>745</v>
      </c>
      <c r="C55" s="111" t="s">
        <v>746</v>
      </c>
      <c r="D55" s="111" t="s">
        <v>747</v>
      </c>
      <c r="E55" s="111" t="s">
        <v>855</v>
      </c>
      <c r="F55" s="111" t="s">
        <v>851</v>
      </c>
      <c r="G55" s="111" t="s">
        <v>856</v>
      </c>
      <c r="H55" s="191">
        <v>1484843</v>
      </c>
      <c r="I55" s="172">
        <f t="shared" si="0"/>
        <v>1484843</v>
      </c>
      <c r="J55" s="111"/>
      <c r="L55" s="41">
        <f>VLOOKUP(E55,[3]단가!B$4:M$724,12,0)</f>
        <v>1484843</v>
      </c>
      <c r="M55" s="118">
        <f t="shared" si="1"/>
        <v>0</v>
      </c>
      <c r="N55" s="481">
        <f t="shared" si="2"/>
        <v>0</v>
      </c>
    </row>
    <row r="56" spans="1:14">
      <c r="A56" s="111">
        <v>52</v>
      </c>
      <c r="B56" s="111" t="s">
        <v>745</v>
      </c>
      <c r="C56" s="111" t="s">
        <v>746</v>
      </c>
      <c r="D56" s="111" t="s">
        <v>747</v>
      </c>
      <c r="E56" s="111" t="s">
        <v>857</v>
      </c>
      <c r="F56" s="111" t="s">
        <v>851</v>
      </c>
      <c r="G56" s="111" t="s">
        <v>858</v>
      </c>
      <c r="H56" s="191">
        <v>2070752</v>
      </c>
      <c r="I56" s="172">
        <f t="shared" si="0"/>
        <v>2070752</v>
      </c>
      <c r="J56" s="111"/>
      <c r="L56" s="41">
        <f>VLOOKUP(E56,[3]단가!B$4:M$724,12,0)</f>
        <v>2070752</v>
      </c>
      <c r="M56" s="118">
        <f t="shared" si="1"/>
        <v>0</v>
      </c>
      <c r="N56" s="481">
        <f t="shared" si="2"/>
        <v>0</v>
      </c>
    </row>
    <row r="57" spans="1:14">
      <c r="A57" s="111">
        <v>53</v>
      </c>
      <c r="B57" s="111" t="s">
        <v>745</v>
      </c>
      <c r="C57" s="111" t="s">
        <v>746</v>
      </c>
      <c r="D57" s="111" t="s">
        <v>747</v>
      </c>
      <c r="E57" s="111" t="s">
        <v>859</v>
      </c>
      <c r="F57" s="111" t="s">
        <v>851</v>
      </c>
      <c r="G57" s="111" t="s">
        <v>860</v>
      </c>
      <c r="H57" s="191">
        <v>1331375</v>
      </c>
      <c r="I57" s="172">
        <f t="shared" si="0"/>
        <v>1331375</v>
      </c>
      <c r="J57" s="111"/>
      <c r="L57" s="41">
        <f>VLOOKUP(E57,[3]단가!B$4:M$724,12,0)</f>
        <v>1331375</v>
      </c>
      <c r="M57" s="118">
        <f t="shared" si="1"/>
        <v>0</v>
      </c>
      <c r="N57" s="481">
        <f t="shared" si="2"/>
        <v>0</v>
      </c>
    </row>
    <row r="58" spans="1:14">
      <c r="A58" s="111">
        <v>54</v>
      </c>
      <c r="B58" s="111" t="s">
        <v>745</v>
      </c>
      <c r="C58" s="111" t="s">
        <v>746</v>
      </c>
      <c r="D58" s="111" t="s">
        <v>747</v>
      </c>
      <c r="E58" s="111" t="s">
        <v>861</v>
      </c>
      <c r="F58" s="111" t="s">
        <v>851</v>
      </c>
      <c r="G58" s="111" t="s">
        <v>862</v>
      </c>
      <c r="H58" s="191">
        <v>1357867</v>
      </c>
      <c r="I58" s="172">
        <f t="shared" si="0"/>
        <v>1357867</v>
      </c>
      <c r="J58" s="111"/>
      <c r="L58" s="41">
        <f>VLOOKUP(E58,[3]단가!B$4:M$724,12,0)</f>
        <v>1357867</v>
      </c>
      <c r="M58" s="118">
        <f t="shared" si="1"/>
        <v>0</v>
      </c>
      <c r="N58" s="481">
        <f t="shared" si="2"/>
        <v>0</v>
      </c>
    </row>
    <row r="59" spans="1:14">
      <c r="A59" s="111">
        <v>55</v>
      </c>
      <c r="B59" s="111" t="s">
        <v>745</v>
      </c>
      <c r="C59" s="111" t="s">
        <v>746</v>
      </c>
      <c r="D59" s="111" t="s">
        <v>747</v>
      </c>
      <c r="E59" s="111" t="s">
        <v>863</v>
      </c>
      <c r="F59" s="111" t="s">
        <v>851</v>
      </c>
      <c r="G59" s="111" t="s">
        <v>864</v>
      </c>
      <c r="H59" s="191">
        <v>1484843</v>
      </c>
      <c r="I59" s="172">
        <f t="shared" si="0"/>
        <v>1484843</v>
      </c>
      <c r="J59" s="111"/>
      <c r="L59" s="41">
        <f>VLOOKUP(E59,[3]단가!B$4:M$724,12,0)</f>
        <v>1484843</v>
      </c>
      <c r="M59" s="118">
        <f t="shared" si="1"/>
        <v>0</v>
      </c>
      <c r="N59" s="481">
        <f t="shared" si="2"/>
        <v>0</v>
      </c>
    </row>
    <row r="60" spans="1:14">
      <c r="A60" s="111">
        <v>56</v>
      </c>
      <c r="B60" s="111" t="s">
        <v>745</v>
      </c>
      <c r="C60" s="111" t="s">
        <v>746</v>
      </c>
      <c r="D60" s="111" t="s">
        <v>747</v>
      </c>
      <c r="E60" s="111" t="s">
        <v>865</v>
      </c>
      <c r="F60" s="111" t="s">
        <v>851</v>
      </c>
      <c r="G60" s="111" t="s">
        <v>866</v>
      </c>
      <c r="H60" s="191">
        <v>2070752</v>
      </c>
      <c r="I60" s="172">
        <f t="shared" si="0"/>
        <v>2070752</v>
      </c>
      <c r="J60" s="111"/>
      <c r="L60" s="41">
        <f>VLOOKUP(E60,[3]단가!B$4:M$724,12,0)</f>
        <v>2070752</v>
      </c>
      <c r="M60" s="118">
        <f t="shared" si="1"/>
        <v>0</v>
      </c>
      <c r="N60" s="481">
        <f t="shared" si="2"/>
        <v>0</v>
      </c>
    </row>
    <row r="61" spans="1:14">
      <c r="A61" s="111">
        <v>57</v>
      </c>
      <c r="B61" s="111" t="s">
        <v>745</v>
      </c>
      <c r="C61" s="111" t="s">
        <v>746</v>
      </c>
      <c r="D61" s="111" t="s">
        <v>747</v>
      </c>
      <c r="E61" s="111" t="s">
        <v>867</v>
      </c>
      <c r="F61" s="111" t="s">
        <v>851</v>
      </c>
      <c r="G61" s="111" t="s">
        <v>868</v>
      </c>
      <c r="H61" s="191">
        <v>1331375</v>
      </c>
      <c r="I61" s="172">
        <f t="shared" si="0"/>
        <v>1331375</v>
      </c>
      <c r="J61" s="111"/>
      <c r="L61" s="41">
        <f>VLOOKUP(E61,[3]단가!B$4:M$724,12,0)</f>
        <v>1331375</v>
      </c>
      <c r="M61" s="118">
        <f t="shared" si="1"/>
        <v>0</v>
      </c>
      <c r="N61" s="481">
        <f t="shared" si="2"/>
        <v>0</v>
      </c>
    </row>
    <row r="62" spans="1:14">
      <c r="A62" s="111">
        <v>58</v>
      </c>
      <c r="B62" s="111" t="s">
        <v>745</v>
      </c>
      <c r="C62" s="111" t="s">
        <v>746</v>
      </c>
      <c r="D62" s="111" t="s">
        <v>747</v>
      </c>
      <c r="E62" s="111" t="s">
        <v>869</v>
      </c>
      <c r="F62" s="111" t="s">
        <v>851</v>
      </c>
      <c r="G62" s="111" t="s">
        <v>870</v>
      </c>
      <c r="H62" s="191">
        <v>1357867</v>
      </c>
      <c r="I62" s="172">
        <f t="shared" si="0"/>
        <v>1357867</v>
      </c>
      <c r="J62" s="111"/>
      <c r="L62" s="41">
        <f>VLOOKUP(E62,[3]단가!B$4:M$724,12,0)</f>
        <v>1357867</v>
      </c>
      <c r="M62" s="118">
        <f t="shared" si="1"/>
        <v>0</v>
      </c>
      <c r="N62" s="481">
        <f t="shared" si="2"/>
        <v>0</v>
      </c>
    </row>
    <row r="63" spans="1:14">
      <c r="A63" s="111">
        <v>59</v>
      </c>
      <c r="B63" s="111" t="s">
        <v>745</v>
      </c>
      <c r="C63" s="111" t="s">
        <v>746</v>
      </c>
      <c r="D63" s="111" t="s">
        <v>747</v>
      </c>
      <c r="E63" s="111" t="s">
        <v>871</v>
      </c>
      <c r="F63" s="111" t="s">
        <v>851</v>
      </c>
      <c r="G63" s="111" t="s">
        <v>872</v>
      </c>
      <c r="H63" s="191">
        <v>1484843</v>
      </c>
      <c r="I63" s="172">
        <f t="shared" si="0"/>
        <v>1484843</v>
      </c>
      <c r="J63" s="111"/>
      <c r="L63" s="41">
        <f>VLOOKUP(E63,[3]단가!B$4:M$724,12,0)</f>
        <v>1484843</v>
      </c>
      <c r="M63" s="118">
        <f t="shared" si="1"/>
        <v>0</v>
      </c>
      <c r="N63" s="481">
        <f t="shared" si="2"/>
        <v>0</v>
      </c>
    </row>
    <row r="64" spans="1:14">
      <c r="A64" s="111">
        <v>60</v>
      </c>
      <c r="B64" s="111" t="s">
        <v>745</v>
      </c>
      <c r="C64" s="111" t="s">
        <v>746</v>
      </c>
      <c r="D64" s="111" t="s">
        <v>747</v>
      </c>
      <c r="E64" s="111" t="s">
        <v>873</v>
      </c>
      <c r="F64" s="111" t="s">
        <v>851</v>
      </c>
      <c r="G64" s="111" t="s">
        <v>874</v>
      </c>
      <c r="H64" s="191">
        <v>2070752</v>
      </c>
      <c r="I64" s="172">
        <f t="shared" si="0"/>
        <v>2070752</v>
      </c>
      <c r="J64" s="111"/>
      <c r="L64" s="41">
        <f>VLOOKUP(E64,[3]단가!B$4:M$724,12,0)</f>
        <v>2070752</v>
      </c>
      <c r="M64" s="118">
        <f t="shared" si="1"/>
        <v>0</v>
      </c>
      <c r="N64" s="481">
        <f t="shared" si="2"/>
        <v>0</v>
      </c>
    </row>
    <row r="65" spans="1:14">
      <c r="A65" s="111">
        <v>61</v>
      </c>
      <c r="B65" s="111" t="s">
        <v>745</v>
      </c>
      <c r="C65" s="111" t="s">
        <v>746</v>
      </c>
      <c r="D65" s="111" t="s">
        <v>747</v>
      </c>
      <c r="E65" s="111" t="s">
        <v>875</v>
      </c>
      <c r="F65" s="111" t="s">
        <v>876</v>
      </c>
      <c r="G65" s="111" t="s">
        <v>877</v>
      </c>
      <c r="H65" s="191">
        <v>1317997</v>
      </c>
      <c r="I65" s="172">
        <f t="shared" si="0"/>
        <v>1317997</v>
      </c>
      <c r="J65" s="111"/>
      <c r="L65" s="41">
        <f>VLOOKUP(E65,[3]단가!B$4:M$724,12,0)</f>
        <v>1317997</v>
      </c>
      <c r="M65" s="118">
        <f t="shared" si="1"/>
        <v>0</v>
      </c>
      <c r="N65" s="481">
        <f t="shared" si="2"/>
        <v>0</v>
      </c>
    </row>
    <row r="66" spans="1:14">
      <c r="A66" s="111">
        <v>62</v>
      </c>
      <c r="B66" s="111" t="s">
        <v>745</v>
      </c>
      <c r="C66" s="111" t="s">
        <v>746</v>
      </c>
      <c r="D66" s="111" t="s">
        <v>747</v>
      </c>
      <c r="E66" s="111" t="s">
        <v>878</v>
      </c>
      <c r="F66" s="111" t="s">
        <v>876</v>
      </c>
      <c r="G66" s="111" t="s">
        <v>879</v>
      </c>
      <c r="H66" s="191">
        <v>1344194</v>
      </c>
      <c r="I66" s="172">
        <f t="shared" si="0"/>
        <v>1344194</v>
      </c>
      <c r="J66" s="111"/>
      <c r="L66" s="41">
        <f>VLOOKUP(E66,[3]단가!B$4:M$724,12,0)</f>
        <v>1344194</v>
      </c>
      <c r="M66" s="118">
        <f t="shared" si="1"/>
        <v>0</v>
      </c>
      <c r="N66" s="481">
        <f t="shared" si="2"/>
        <v>0</v>
      </c>
    </row>
    <row r="67" spans="1:14">
      <c r="A67" s="111">
        <v>63</v>
      </c>
      <c r="B67" s="111" t="s">
        <v>745</v>
      </c>
      <c r="C67" s="111" t="s">
        <v>746</v>
      </c>
      <c r="D67" s="111" t="s">
        <v>747</v>
      </c>
      <c r="E67" s="111" t="s">
        <v>880</v>
      </c>
      <c r="F67" s="111" t="s">
        <v>876</v>
      </c>
      <c r="G67" s="111" t="s">
        <v>881</v>
      </c>
      <c r="H67" s="191">
        <v>1469862</v>
      </c>
      <c r="I67" s="172">
        <f t="shared" si="0"/>
        <v>1469862</v>
      </c>
      <c r="J67" s="111"/>
      <c r="L67" s="41">
        <f>VLOOKUP(E67,[3]단가!B$4:M$724,12,0)</f>
        <v>1469862</v>
      </c>
      <c r="M67" s="118">
        <f t="shared" si="1"/>
        <v>0</v>
      </c>
      <c r="N67" s="481">
        <f t="shared" si="2"/>
        <v>0</v>
      </c>
    </row>
    <row r="68" spans="1:14">
      <c r="A68" s="111">
        <v>64</v>
      </c>
      <c r="B68" s="111" t="s">
        <v>745</v>
      </c>
      <c r="C68" s="111" t="s">
        <v>746</v>
      </c>
      <c r="D68" s="111" t="s">
        <v>747</v>
      </c>
      <c r="E68" s="111" t="s">
        <v>882</v>
      </c>
      <c r="F68" s="111" t="s">
        <v>876</v>
      </c>
      <c r="G68" s="111" t="s">
        <v>883</v>
      </c>
      <c r="H68" s="191">
        <v>2029330</v>
      </c>
      <c r="I68" s="172">
        <f t="shared" si="0"/>
        <v>2029330</v>
      </c>
      <c r="J68" s="111"/>
      <c r="L68" s="41">
        <f>VLOOKUP(E68,[3]단가!B$4:M$724,12,0)</f>
        <v>2029330</v>
      </c>
      <c r="M68" s="118">
        <f t="shared" si="1"/>
        <v>0</v>
      </c>
      <c r="N68" s="481">
        <f t="shared" si="2"/>
        <v>0</v>
      </c>
    </row>
    <row r="69" spans="1:14">
      <c r="A69" s="111">
        <v>65</v>
      </c>
      <c r="B69" s="111" t="s">
        <v>745</v>
      </c>
      <c r="C69" s="111" t="s">
        <v>746</v>
      </c>
      <c r="D69" s="111" t="s">
        <v>747</v>
      </c>
      <c r="E69" s="111" t="s">
        <v>884</v>
      </c>
      <c r="F69" s="111" t="s">
        <v>885</v>
      </c>
      <c r="G69" s="111" t="s">
        <v>886</v>
      </c>
      <c r="H69" s="191">
        <v>1425100</v>
      </c>
      <c r="I69" s="172">
        <f t="shared" ref="I69:I132" si="3">IF(D69="Y",H69*$I$3,H69*$J$3)</f>
        <v>1425100</v>
      </c>
      <c r="J69" s="111"/>
      <c r="L69" s="41">
        <f>VLOOKUP(E69,[3]단가!B$4:M$724,12,0)</f>
        <v>1425100</v>
      </c>
      <c r="M69" s="118">
        <f t="shared" si="1"/>
        <v>0</v>
      </c>
      <c r="N69" s="481">
        <f t="shared" si="2"/>
        <v>0</v>
      </c>
    </row>
    <row r="70" spans="1:14">
      <c r="A70" s="111">
        <v>66</v>
      </c>
      <c r="B70" s="111" t="s">
        <v>745</v>
      </c>
      <c r="C70" s="111" t="s">
        <v>746</v>
      </c>
      <c r="D70" s="111" t="s">
        <v>747</v>
      </c>
      <c r="E70" s="111" t="s">
        <v>887</v>
      </c>
      <c r="F70" s="111" t="s">
        <v>885</v>
      </c>
      <c r="G70" s="111" t="s">
        <v>888</v>
      </c>
      <c r="H70" s="191">
        <v>1569799</v>
      </c>
      <c r="I70" s="172">
        <f t="shared" si="3"/>
        <v>1569799</v>
      </c>
      <c r="J70" s="111"/>
      <c r="L70" s="41">
        <f>VLOOKUP(E70,[3]단가!B$4:M$724,12,0)</f>
        <v>1569799</v>
      </c>
      <c r="M70" s="118">
        <f t="shared" ref="M70:M133" si="4">L70-H70</f>
        <v>0</v>
      </c>
      <c r="N70" s="481">
        <f t="shared" ref="N70:N133" si="5">M70/H70</f>
        <v>0</v>
      </c>
    </row>
    <row r="71" spans="1:14">
      <c r="A71" s="111">
        <v>67</v>
      </c>
      <c r="B71" s="111" t="s">
        <v>745</v>
      </c>
      <c r="C71" s="111" t="s">
        <v>746</v>
      </c>
      <c r="D71" s="111" t="s">
        <v>747</v>
      </c>
      <c r="E71" s="111" t="s">
        <v>889</v>
      </c>
      <c r="F71" s="111" t="s">
        <v>885</v>
      </c>
      <c r="G71" s="111" t="s">
        <v>890</v>
      </c>
      <c r="H71" s="191">
        <v>1827609</v>
      </c>
      <c r="I71" s="172">
        <f t="shared" si="3"/>
        <v>1827609</v>
      </c>
      <c r="J71" s="111"/>
      <c r="L71" s="41">
        <f>VLOOKUP(E71,[3]단가!B$4:M$724,12,0)</f>
        <v>1827609</v>
      </c>
      <c r="M71" s="118">
        <f t="shared" si="4"/>
        <v>0</v>
      </c>
      <c r="N71" s="481">
        <f t="shared" si="5"/>
        <v>0</v>
      </c>
    </row>
    <row r="72" spans="1:14">
      <c r="A72" s="111">
        <v>68</v>
      </c>
      <c r="B72" s="111" t="s">
        <v>745</v>
      </c>
      <c r="C72" s="111" t="s">
        <v>746</v>
      </c>
      <c r="D72" s="111" t="s">
        <v>747</v>
      </c>
      <c r="E72" s="111" t="s">
        <v>891</v>
      </c>
      <c r="F72" s="111" t="s">
        <v>885</v>
      </c>
      <c r="G72" s="111" t="s">
        <v>892</v>
      </c>
      <c r="H72" s="191">
        <v>2091427</v>
      </c>
      <c r="I72" s="172">
        <f t="shared" si="3"/>
        <v>2091427</v>
      </c>
      <c r="J72" s="111"/>
      <c r="L72" s="41">
        <f>VLOOKUP(E72,[3]단가!B$4:M$724,12,0)</f>
        <v>2091427</v>
      </c>
      <c r="M72" s="118">
        <f t="shared" si="4"/>
        <v>0</v>
      </c>
      <c r="N72" s="481">
        <f t="shared" si="5"/>
        <v>0</v>
      </c>
    </row>
    <row r="73" spans="1:14">
      <c r="A73" s="111">
        <v>69</v>
      </c>
      <c r="B73" s="111" t="s">
        <v>745</v>
      </c>
      <c r="C73" s="111" t="s">
        <v>746</v>
      </c>
      <c r="D73" s="111" t="s">
        <v>747</v>
      </c>
      <c r="E73" s="111" t="s">
        <v>893</v>
      </c>
      <c r="F73" s="111" t="s">
        <v>894</v>
      </c>
      <c r="G73" s="111" t="s">
        <v>895</v>
      </c>
      <c r="H73" s="191">
        <v>1896963</v>
      </c>
      <c r="I73" s="172">
        <f t="shared" si="3"/>
        <v>1896963</v>
      </c>
      <c r="J73" s="111"/>
      <c r="L73" s="41">
        <f>VLOOKUP(E73,[3]단가!B$4:M$724,12,0)</f>
        <v>1896963</v>
      </c>
      <c r="M73" s="118">
        <f t="shared" si="4"/>
        <v>0</v>
      </c>
      <c r="N73" s="481">
        <f t="shared" si="5"/>
        <v>0</v>
      </c>
    </row>
    <row r="74" spans="1:14">
      <c r="A74" s="111">
        <v>70</v>
      </c>
      <c r="B74" s="111" t="s">
        <v>745</v>
      </c>
      <c r="C74" s="111" t="s">
        <v>746</v>
      </c>
      <c r="D74" s="111" t="s">
        <v>747</v>
      </c>
      <c r="E74" s="111" t="s">
        <v>896</v>
      </c>
      <c r="F74" s="111" t="s">
        <v>894</v>
      </c>
      <c r="G74" s="111" t="s">
        <v>897</v>
      </c>
      <c r="H74" s="191">
        <v>1918654</v>
      </c>
      <c r="I74" s="172">
        <f t="shared" si="3"/>
        <v>1918654</v>
      </c>
      <c r="J74" s="111"/>
      <c r="L74" s="41">
        <f>VLOOKUP(E74,[3]단가!B$4:M$724,12,0)</f>
        <v>1918654</v>
      </c>
      <c r="M74" s="118">
        <f t="shared" si="4"/>
        <v>0</v>
      </c>
      <c r="N74" s="481">
        <f t="shared" si="5"/>
        <v>0</v>
      </c>
    </row>
    <row r="75" spans="1:14">
      <c r="A75" s="111">
        <v>71</v>
      </c>
      <c r="B75" s="111" t="s">
        <v>745</v>
      </c>
      <c r="C75" s="111" t="s">
        <v>746</v>
      </c>
      <c r="D75" s="111" t="s">
        <v>747</v>
      </c>
      <c r="E75" s="111" t="s">
        <v>898</v>
      </c>
      <c r="F75" s="111" t="s">
        <v>894</v>
      </c>
      <c r="G75" s="111" t="s">
        <v>899</v>
      </c>
      <c r="H75" s="191">
        <v>2004127</v>
      </c>
      <c r="I75" s="172">
        <f t="shared" si="3"/>
        <v>2004127</v>
      </c>
      <c r="J75" s="111"/>
      <c r="L75" s="41">
        <f>VLOOKUP(E75,[3]단가!B$4:M$724,12,0)</f>
        <v>2004127</v>
      </c>
      <c r="M75" s="118">
        <f t="shared" si="4"/>
        <v>0</v>
      </c>
      <c r="N75" s="481">
        <f t="shared" si="5"/>
        <v>0</v>
      </c>
    </row>
    <row r="76" spans="1:14">
      <c r="A76" s="111">
        <v>72</v>
      </c>
      <c r="B76" s="111" t="s">
        <v>745</v>
      </c>
      <c r="C76" s="111" t="s">
        <v>746</v>
      </c>
      <c r="D76" s="111" t="s">
        <v>747</v>
      </c>
      <c r="E76" s="111" t="s">
        <v>900</v>
      </c>
      <c r="F76" s="111" t="s">
        <v>894</v>
      </c>
      <c r="G76" s="111" t="s">
        <v>901</v>
      </c>
      <c r="H76" s="191">
        <v>2571583</v>
      </c>
      <c r="I76" s="172">
        <f t="shared" si="3"/>
        <v>2571583</v>
      </c>
      <c r="J76" s="111"/>
      <c r="L76" s="41">
        <f>VLOOKUP(E76,[3]단가!B$4:M$724,12,0)</f>
        <v>2571583</v>
      </c>
      <c r="M76" s="118">
        <f t="shared" si="4"/>
        <v>0</v>
      </c>
      <c r="N76" s="481">
        <f t="shared" si="5"/>
        <v>0</v>
      </c>
    </row>
    <row r="77" spans="1:14">
      <c r="A77" s="111">
        <v>73</v>
      </c>
      <c r="B77" s="111" t="s">
        <v>745</v>
      </c>
      <c r="C77" s="111" t="s">
        <v>746</v>
      </c>
      <c r="D77" s="111" t="s">
        <v>747</v>
      </c>
      <c r="E77" s="111" t="s">
        <v>902</v>
      </c>
      <c r="F77" s="111" t="s">
        <v>903</v>
      </c>
      <c r="G77" s="111" t="s">
        <v>904</v>
      </c>
      <c r="H77" s="191">
        <v>668885</v>
      </c>
      <c r="I77" s="172">
        <f t="shared" si="3"/>
        <v>668885</v>
      </c>
      <c r="J77" s="111"/>
      <c r="L77" s="41">
        <f>VLOOKUP(E77,[3]단가!B$4:M$724,12,0)</f>
        <v>668885</v>
      </c>
      <c r="M77" s="118">
        <f t="shared" si="4"/>
        <v>0</v>
      </c>
      <c r="N77" s="481">
        <f t="shared" si="5"/>
        <v>0</v>
      </c>
    </row>
    <row r="78" spans="1:14">
      <c r="A78" s="111">
        <v>74</v>
      </c>
      <c r="B78" s="111" t="s">
        <v>745</v>
      </c>
      <c r="C78" s="111" t="s">
        <v>746</v>
      </c>
      <c r="D78" s="111" t="s">
        <v>747</v>
      </c>
      <c r="E78" s="111" t="s">
        <v>905</v>
      </c>
      <c r="F78" s="111" t="s">
        <v>903</v>
      </c>
      <c r="G78" s="111" t="s">
        <v>906</v>
      </c>
      <c r="H78" s="191">
        <v>680862</v>
      </c>
      <c r="I78" s="172">
        <f t="shared" si="3"/>
        <v>680862</v>
      </c>
      <c r="J78" s="111"/>
      <c r="L78" s="41">
        <f>VLOOKUP(E78,[3]단가!B$4:M$724,12,0)</f>
        <v>680862</v>
      </c>
      <c r="M78" s="118">
        <f t="shared" si="4"/>
        <v>0</v>
      </c>
      <c r="N78" s="481">
        <f t="shared" si="5"/>
        <v>0</v>
      </c>
    </row>
    <row r="79" spans="1:14">
      <c r="A79" s="111">
        <v>75</v>
      </c>
      <c r="B79" s="111" t="s">
        <v>745</v>
      </c>
      <c r="C79" s="111" t="s">
        <v>746</v>
      </c>
      <c r="D79" s="111" t="s">
        <v>747</v>
      </c>
      <c r="E79" s="111" t="s">
        <v>907</v>
      </c>
      <c r="F79" s="111" t="s">
        <v>903</v>
      </c>
      <c r="G79" s="111" t="s">
        <v>908</v>
      </c>
      <c r="H79" s="191">
        <v>694057</v>
      </c>
      <c r="I79" s="172">
        <f t="shared" si="3"/>
        <v>694057</v>
      </c>
      <c r="J79" s="111"/>
      <c r="L79" s="41">
        <f>VLOOKUP(E79,[3]단가!B$4:M$724,12,0)</f>
        <v>694057</v>
      </c>
      <c r="M79" s="118">
        <f t="shared" si="4"/>
        <v>0</v>
      </c>
      <c r="N79" s="481">
        <f t="shared" si="5"/>
        <v>0</v>
      </c>
    </row>
    <row r="80" spans="1:14">
      <c r="A80" s="111">
        <v>76</v>
      </c>
      <c r="B80" s="111" t="s">
        <v>745</v>
      </c>
      <c r="C80" s="111" t="s">
        <v>746</v>
      </c>
      <c r="D80" s="111" t="s">
        <v>747</v>
      </c>
      <c r="E80" s="111" t="s">
        <v>909</v>
      </c>
      <c r="F80" s="111" t="s">
        <v>903</v>
      </c>
      <c r="G80" s="111" t="s">
        <v>910</v>
      </c>
      <c r="H80" s="191">
        <v>1118733</v>
      </c>
      <c r="I80" s="172">
        <f t="shared" si="3"/>
        <v>1118733</v>
      </c>
      <c r="J80" s="111"/>
      <c r="L80" s="41">
        <f>VLOOKUP(E80,[3]단가!B$4:M$724,12,0)</f>
        <v>1118733</v>
      </c>
      <c r="M80" s="118">
        <f t="shared" si="4"/>
        <v>0</v>
      </c>
      <c r="N80" s="481">
        <f t="shared" si="5"/>
        <v>0</v>
      </c>
    </row>
    <row r="81" spans="1:14">
      <c r="A81" s="111">
        <v>77</v>
      </c>
      <c r="B81" s="111" t="s">
        <v>745</v>
      </c>
      <c r="C81" s="111" t="s">
        <v>746</v>
      </c>
      <c r="D81" s="111" t="s">
        <v>747</v>
      </c>
      <c r="E81" s="111" t="s">
        <v>911</v>
      </c>
      <c r="F81" s="111" t="s">
        <v>903</v>
      </c>
      <c r="G81" s="111" t="s">
        <v>904</v>
      </c>
      <c r="H81" s="191">
        <v>668885</v>
      </c>
      <c r="I81" s="172">
        <f t="shared" si="3"/>
        <v>668885</v>
      </c>
      <c r="J81" s="111"/>
      <c r="L81" s="41">
        <f>VLOOKUP(E81,[3]단가!B$4:M$724,12,0)</f>
        <v>668885</v>
      </c>
      <c r="M81" s="118">
        <f t="shared" si="4"/>
        <v>0</v>
      </c>
      <c r="N81" s="481">
        <f t="shared" si="5"/>
        <v>0</v>
      </c>
    </row>
    <row r="82" spans="1:14">
      <c r="A82" s="111">
        <v>78</v>
      </c>
      <c r="B82" s="111" t="s">
        <v>745</v>
      </c>
      <c r="C82" s="111" t="s">
        <v>746</v>
      </c>
      <c r="D82" s="111" t="s">
        <v>747</v>
      </c>
      <c r="E82" s="111" t="s">
        <v>912</v>
      </c>
      <c r="F82" s="111" t="s">
        <v>903</v>
      </c>
      <c r="G82" s="111" t="s">
        <v>906</v>
      </c>
      <c r="H82" s="191">
        <v>680862</v>
      </c>
      <c r="I82" s="172">
        <f t="shared" si="3"/>
        <v>680862</v>
      </c>
      <c r="J82" s="111"/>
      <c r="L82" s="41">
        <f>VLOOKUP(E82,[3]단가!B$4:M$724,12,0)</f>
        <v>680862</v>
      </c>
      <c r="M82" s="118">
        <f t="shared" si="4"/>
        <v>0</v>
      </c>
      <c r="N82" s="481">
        <f t="shared" si="5"/>
        <v>0</v>
      </c>
    </row>
    <row r="83" spans="1:14">
      <c r="A83" s="111">
        <v>79</v>
      </c>
      <c r="B83" s="111" t="s">
        <v>745</v>
      </c>
      <c r="C83" s="111" t="s">
        <v>746</v>
      </c>
      <c r="D83" s="111" t="s">
        <v>747</v>
      </c>
      <c r="E83" s="111" t="s">
        <v>913</v>
      </c>
      <c r="F83" s="111" t="s">
        <v>903</v>
      </c>
      <c r="G83" s="111" t="s">
        <v>908</v>
      </c>
      <c r="H83" s="191">
        <v>694057</v>
      </c>
      <c r="I83" s="172">
        <f t="shared" si="3"/>
        <v>694057</v>
      </c>
      <c r="J83" s="111"/>
      <c r="L83" s="41">
        <f>VLOOKUP(E83,[3]단가!B$4:M$724,12,0)</f>
        <v>694057</v>
      </c>
      <c r="M83" s="118">
        <f t="shared" si="4"/>
        <v>0</v>
      </c>
      <c r="N83" s="481">
        <f t="shared" si="5"/>
        <v>0</v>
      </c>
    </row>
    <row r="84" spans="1:14">
      <c r="A84" s="111">
        <v>80</v>
      </c>
      <c r="B84" s="111" t="s">
        <v>745</v>
      </c>
      <c r="C84" s="111" t="s">
        <v>746</v>
      </c>
      <c r="D84" s="111" t="s">
        <v>747</v>
      </c>
      <c r="E84" s="111" t="s">
        <v>914</v>
      </c>
      <c r="F84" s="111" t="s">
        <v>903</v>
      </c>
      <c r="G84" s="111" t="s">
        <v>910</v>
      </c>
      <c r="H84" s="191">
        <v>1118733</v>
      </c>
      <c r="I84" s="172">
        <f t="shared" si="3"/>
        <v>1118733</v>
      </c>
      <c r="J84" s="111"/>
      <c r="L84" s="41">
        <f>VLOOKUP(E84,[3]단가!B$4:M$724,12,0)</f>
        <v>1118733</v>
      </c>
      <c r="M84" s="118">
        <f t="shared" si="4"/>
        <v>0</v>
      </c>
      <c r="N84" s="481">
        <f t="shared" si="5"/>
        <v>0</v>
      </c>
    </row>
    <row r="85" spans="1:14">
      <c r="A85" s="111">
        <v>81</v>
      </c>
      <c r="B85" s="111" t="s">
        <v>745</v>
      </c>
      <c r="C85" s="111" t="s">
        <v>746</v>
      </c>
      <c r="D85" s="111" t="s">
        <v>747</v>
      </c>
      <c r="E85" s="111" t="s">
        <v>915</v>
      </c>
      <c r="F85" s="111" t="s">
        <v>903</v>
      </c>
      <c r="G85" s="111" t="s">
        <v>904</v>
      </c>
      <c r="H85" s="191">
        <v>668885</v>
      </c>
      <c r="I85" s="172">
        <f t="shared" si="3"/>
        <v>668885</v>
      </c>
      <c r="J85" s="111"/>
      <c r="L85" s="41">
        <f>VLOOKUP(E85,[3]단가!B$4:M$724,12,0)</f>
        <v>668885</v>
      </c>
      <c r="M85" s="118">
        <f t="shared" si="4"/>
        <v>0</v>
      </c>
      <c r="N85" s="481">
        <f t="shared" si="5"/>
        <v>0</v>
      </c>
    </row>
    <row r="86" spans="1:14">
      <c r="A86" s="111">
        <v>82</v>
      </c>
      <c r="B86" s="111" t="s">
        <v>745</v>
      </c>
      <c r="C86" s="111" t="s">
        <v>746</v>
      </c>
      <c r="D86" s="111" t="s">
        <v>747</v>
      </c>
      <c r="E86" s="111" t="s">
        <v>916</v>
      </c>
      <c r="F86" s="111" t="s">
        <v>903</v>
      </c>
      <c r="G86" s="111" t="s">
        <v>906</v>
      </c>
      <c r="H86" s="191">
        <v>680862</v>
      </c>
      <c r="I86" s="172">
        <f t="shared" si="3"/>
        <v>680862</v>
      </c>
      <c r="J86" s="111"/>
      <c r="L86" s="41">
        <f>VLOOKUP(E86,[3]단가!B$4:M$724,12,0)</f>
        <v>680862</v>
      </c>
      <c r="M86" s="118">
        <f t="shared" si="4"/>
        <v>0</v>
      </c>
      <c r="N86" s="481">
        <f t="shared" si="5"/>
        <v>0</v>
      </c>
    </row>
    <row r="87" spans="1:14">
      <c r="A87" s="111">
        <v>83</v>
      </c>
      <c r="B87" s="111" t="s">
        <v>745</v>
      </c>
      <c r="C87" s="111" t="s">
        <v>746</v>
      </c>
      <c r="D87" s="111" t="s">
        <v>747</v>
      </c>
      <c r="E87" s="111" t="s">
        <v>917</v>
      </c>
      <c r="F87" s="111" t="s">
        <v>903</v>
      </c>
      <c r="G87" s="111" t="s">
        <v>908</v>
      </c>
      <c r="H87" s="191">
        <v>694057</v>
      </c>
      <c r="I87" s="172">
        <f t="shared" si="3"/>
        <v>694057</v>
      </c>
      <c r="J87" s="111"/>
      <c r="L87" s="41">
        <f>VLOOKUP(E87,[3]단가!B$4:M$724,12,0)</f>
        <v>694057</v>
      </c>
      <c r="M87" s="118">
        <f t="shared" si="4"/>
        <v>0</v>
      </c>
      <c r="N87" s="481">
        <f t="shared" si="5"/>
        <v>0</v>
      </c>
    </row>
    <row r="88" spans="1:14">
      <c r="A88" s="111">
        <v>84</v>
      </c>
      <c r="B88" s="111" t="s">
        <v>745</v>
      </c>
      <c r="C88" s="111" t="s">
        <v>746</v>
      </c>
      <c r="D88" s="111" t="s">
        <v>747</v>
      </c>
      <c r="E88" s="111" t="s">
        <v>918</v>
      </c>
      <c r="F88" s="111" t="s">
        <v>903</v>
      </c>
      <c r="G88" s="111" t="s">
        <v>910</v>
      </c>
      <c r="H88" s="191">
        <v>1118733</v>
      </c>
      <c r="I88" s="172">
        <f t="shared" si="3"/>
        <v>1118733</v>
      </c>
      <c r="J88" s="111"/>
      <c r="L88" s="41">
        <f>VLOOKUP(E88,[3]단가!B$4:M$724,12,0)</f>
        <v>1118733</v>
      </c>
      <c r="M88" s="118">
        <f t="shared" si="4"/>
        <v>0</v>
      </c>
      <c r="N88" s="481">
        <f t="shared" si="5"/>
        <v>0</v>
      </c>
    </row>
    <row r="89" spans="1:14">
      <c r="A89" s="111">
        <v>85</v>
      </c>
      <c r="B89" s="111" t="s">
        <v>745</v>
      </c>
      <c r="C89" s="111" t="s">
        <v>746</v>
      </c>
      <c r="D89" s="111" t="s">
        <v>747</v>
      </c>
      <c r="E89" s="111" t="s">
        <v>919</v>
      </c>
      <c r="F89" s="111" t="s">
        <v>920</v>
      </c>
      <c r="G89" s="111" t="s">
        <v>921</v>
      </c>
      <c r="H89" s="191">
        <v>668885</v>
      </c>
      <c r="I89" s="172">
        <f t="shared" si="3"/>
        <v>668885</v>
      </c>
      <c r="J89" s="111"/>
      <c r="L89" s="41">
        <f>VLOOKUP(E89,[3]단가!B$4:M$724,12,0)</f>
        <v>668885</v>
      </c>
      <c r="M89" s="118">
        <f t="shared" si="4"/>
        <v>0</v>
      </c>
      <c r="N89" s="481">
        <f t="shared" si="5"/>
        <v>0</v>
      </c>
    </row>
    <row r="90" spans="1:14">
      <c r="A90" s="111">
        <v>86</v>
      </c>
      <c r="B90" s="111" t="s">
        <v>745</v>
      </c>
      <c r="C90" s="111" t="s">
        <v>746</v>
      </c>
      <c r="D90" s="111" t="s">
        <v>747</v>
      </c>
      <c r="E90" s="111" t="s">
        <v>922</v>
      </c>
      <c r="F90" s="111" t="s">
        <v>920</v>
      </c>
      <c r="G90" s="111" t="s">
        <v>923</v>
      </c>
      <c r="H90" s="191">
        <v>680862</v>
      </c>
      <c r="I90" s="172">
        <f t="shared" si="3"/>
        <v>680862</v>
      </c>
      <c r="J90" s="111"/>
      <c r="L90" s="41">
        <f>VLOOKUP(E90,[3]단가!B$4:M$724,12,0)</f>
        <v>680862</v>
      </c>
      <c r="M90" s="118">
        <f t="shared" si="4"/>
        <v>0</v>
      </c>
      <c r="N90" s="481">
        <f t="shared" si="5"/>
        <v>0</v>
      </c>
    </row>
    <row r="91" spans="1:14">
      <c r="A91" s="111">
        <v>87</v>
      </c>
      <c r="B91" s="111" t="s">
        <v>745</v>
      </c>
      <c r="C91" s="111" t="s">
        <v>746</v>
      </c>
      <c r="D91" s="111" t="s">
        <v>747</v>
      </c>
      <c r="E91" s="111" t="s">
        <v>924</v>
      </c>
      <c r="F91" s="111" t="s">
        <v>920</v>
      </c>
      <c r="G91" s="111" t="s">
        <v>925</v>
      </c>
      <c r="H91" s="191">
        <v>694057</v>
      </c>
      <c r="I91" s="172">
        <f t="shared" si="3"/>
        <v>694057</v>
      </c>
      <c r="J91" s="111"/>
      <c r="L91" s="41">
        <f>VLOOKUP(E91,[3]단가!B$4:M$724,12,0)</f>
        <v>694057</v>
      </c>
      <c r="M91" s="118">
        <f t="shared" si="4"/>
        <v>0</v>
      </c>
      <c r="N91" s="481">
        <f t="shared" si="5"/>
        <v>0</v>
      </c>
    </row>
    <row r="92" spans="1:14">
      <c r="A92" s="111">
        <v>88</v>
      </c>
      <c r="B92" s="111" t="s">
        <v>745</v>
      </c>
      <c r="C92" s="111" t="s">
        <v>746</v>
      </c>
      <c r="D92" s="111" t="s">
        <v>747</v>
      </c>
      <c r="E92" s="111" t="s">
        <v>926</v>
      </c>
      <c r="F92" s="111" t="s">
        <v>920</v>
      </c>
      <c r="G92" s="111" t="s">
        <v>927</v>
      </c>
      <c r="H92" s="191">
        <v>1118733</v>
      </c>
      <c r="I92" s="172">
        <f t="shared" si="3"/>
        <v>1118733</v>
      </c>
      <c r="J92" s="111"/>
      <c r="L92" s="41">
        <f>VLOOKUP(E92,[3]단가!B$4:M$724,12,0)</f>
        <v>1118733</v>
      </c>
      <c r="M92" s="118">
        <f t="shared" si="4"/>
        <v>0</v>
      </c>
      <c r="N92" s="481">
        <f t="shared" si="5"/>
        <v>0</v>
      </c>
    </row>
    <row r="93" spans="1:14">
      <c r="A93" s="111">
        <v>89</v>
      </c>
      <c r="B93" s="111" t="s">
        <v>745</v>
      </c>
      <c r="C93" s="111" t="s">
        <v>746</v>
      </c>
      <c r="D93" s="111" t="s">
        <v>747</v>
      </c>
      <c r="E93" s="111" t="s">
        <v>928</v>
      </c>
      <c r="F93" s="111" t="s">
        <v>920</v>
      </c>
      <c r="G93" s="111" t="s">
        <v>921</v>
      </c>
      <c r="H93" s="191">
        <v>668885</v>
      </c>
      <c r="I93" s="172">
        <f t="shared" si="3"/>
        <v>668885</v>
      </c>
      <c r="J93" s="111"/>
      <c r="L93" s="41">
        <f>VLOOKUP(E93,[3]단가!B$4:M$724,12,0)</f>
        <v>668885</v>
      </c>
      <c r="M93" s="118">
        <f t="shared" si="4"/>
        <v>0</v>
      </c>
      <c r="N93" s="481">
        <f t="shared" si="5"/>
        <v>0</v>
      </c>
    </row>
    <row r="94" spans="1:14">
      <c r="A94" s="111">
        <v>90</v>
      </c>
      <c r="B94" s="111" t="s">
        <v>745</v>
      </c>
      <c r="C94" s="111" t="s">
        <v>746</v>
      </c>
      <c r="D94" s="111" t="s">
        <v>747</v>
      </c>
      <c r="E94" s="111" t="s">
        <v>929</v>
      </c>
      <c r="F94" s="111" t="s">
        <v>920</v>
      </c>
      <c r="G94" s="111" t="s">
        <v>923</v>
      </c>
      <c r="H94" s="191">
        <v>680862</v>
      </c>
      <c r="I94" s="172">
        <f t="shared" si="3"/>
        <v>680862</v>
      </c>
      <c r="J94" s="111"/>
      <c r="L94" s="41">
        <f>VLOOKUP(E94,[3]단가!B$4:M$724,12,0)</f>
        <v>680862</v>
      </c>
      <c r="M94" s="118">
        <f t="shared" si="4"/>
        <v>0</v>
      </c>
      <c r="N94" s="481">
        <f t="shared" si="5"/>
        <v>0</v>
      </c>
    </row>
    <row r="95" spans="1:14">
      <c r="A95" s="111">
        <v>91</v>
      </c>
      <c r="B95" s="111" t="s">
        <v>745</v>
      </c>
      <c r="C95" s="111" t="s">
        <v>746</v>
      </c>
      <c r="D95" s="111" t="s">
        <v>747</v>
      </c>
      <c r="E95" s="111" t="s">
        <v>930</v>
      </c>
      <c r="F95" s="111" t="s">
        <v>920</v>
      </c>
      <c r="G95" s="111" t="s">
        <v>925</v>
      </c>
      <c r="H95" s="191">
        <v>694057</v>
      </c>
      <c r="I95" s="172">
        <f t="shared" si="3"/>
        <v>694057</v>
      </c>
      <c r="J95" s="111"/>
      <c r="L95" s="41">
        <f>VLOOKUP(E95,[3]단가!B$4:M$724,12,0)</f>
        <v>694057</v>
      </c>
      <c r="M95" s="118">
        <f t="shared" si="4"/>
        <v>0</v>
      </c>
      <c r="N95" s="481">
        <f t="shared" si="5"/>
        <v>0</v>
      </c>
    </row>
    <row r="96" spans="1:14">
      <c r="A96" s="111">
        <v>92</v>
      </c>
      <c r="B96" s="111" t="s">
        <v>745</v>
      </c>
      <c r="C96" s="111" t="s">
        <v>746</v>
      </c>
      <c r="D96" s="111" t="s">
        <v>747</v>
      </c>
      <c r="E96" s="111" t="s">
        <v>931</v>
      </c>
      <c r="F96" s="111" t="s">
        <v>920</v>
      </c>
      <c r="G96" s="111" t="s">
        <v>927</v>
      </c>
      <c r="H96" s="191">
        <v>1118733</v>
      </c>
      <c r="I96" s="172">
        <f t="shared" si="3"/>
        <v>1118733</v>
      </c>
      <c r="J96" s="111"/>
      <c r="L96" s="41">
        <f>VLOOKUP(E96,[3]단가!B$4:M$724,12,0)</f>
        <v>1118733</v>
      </c>
      <c r="M96" s="118">
        <f t="shared" si="4"/>
        <v>0</v>
      </c>
      <c r="N96" s="481">
        <f t="shared" si="5"/>
        <v>0</v>
      </c>
    </row>
    <row r="97" spans="1:14">
      <c r="A97" s="111">
        <v>93</v>
      </c>
      <c r="B97" s="111" t="s">
        <v>745</v>
      </c>
      <c r="C97" s="111" t="s">
        <v>746</v>
      </c>
      <c r="D97" s="111" t="s">
        <v>747</v>
      </c>
      <c r="E97" s="111" t="s">
        <v>932</v>
      </c>
      <c r="F97" s="111" t="s">
        <v>920</v>
      </c>
      <c r="G97" s="111" t="s">
        <v>921</v>
      </c>
      <c r="H97" s="191">
        <v>668885</v>
      </c>
      <c r="I97" s="172">
        <f t="shared" si="3"/>
        <v>668885</v>
      </c>
      <c r="J97" s="111"/>
      <c r="L97" s="41">
        <f>VLOOKUP(E97,[3]단가!B$4:M$724,12,0)</f>
        <v>668885</v>
      </c>
      <c r="M97" s="118">
        <f t="shared" si="4"/>
        <v>0</v>
      </c>
      <c r="N97" s="481">
        <f t="shared" si="5"/>
        <v>0</v>
      </c>
    </row>
    <row r="98" spans="1:14">
      <c r="A98" s="111">
        <v>94</v>
      </c>
      <c r="B98" s="111" t="s">
        <v>745</v>
      </c>
      <c r="C98" s="111" t="s">
        <v>746</v>
      </c>
      <c r="D98" s="111" t="s">
        <v>747</v>
      </c>
      <c r="E98" s="111" t="s">
        <v>933</v>
      </c>
      <c r="F98" s="111" t="s">
        <v>920</v>
      </c>
      <c r="G98" s="111" t="s">
        <v>923</v>
      </c>
      <c r="H98" s="191">
        <v>680862</v>
      </c>
      <c r="I98" s="172">
        <f t="shared" si="3"/>
        <v>680862</v>
      </c>
      <c r="J98" s="111"/>
      <c r="L98" s="41">
        <f>VLOOKUP(E98,[3]단가!B$4:M$724,12,0)</f>
        <v>680862</v>
      </c>
      <c r="M98" s="118">
        <f t="shared" si="4"/>
        <v>0</v>
      </c>
      <c r="N98" s="481">
        <f t="shared" si="5"/>
        <v>0</v>
      </c>
    </row>
    <row r="99" spans="1:14">
      <c r="A99" s="111">
        <v>95</v>
      </c>
      <c r="B99" s="111" t="s">
        <v>745</v>
      </c>
      <c r="C99" s="111" t="s">
        <v>746</v>
      </c>
      <c r="D99" s="111" t="s">
        <v>747</v>
      </c>
      <c r="E99" s="111" t="s">
        <v>934</v>
      </c>
      <c r="F99" s="111" t="s">
        <v>920</v>
      </c>
      <c r="G99" s="111" t="s">
        <v>925</v>
      </c>
      <c r="H99" s="191">
        <v>694057</v>
      </c>
      <c r="I99" s="172">
        <f t="shared" si="3"/>
        <v>694057</v>
      </c>
      <c r="J99" s="111"/>
      <c r="L99" s="41">
        <f>VLOOKUP(E99,[3]단가!B$4:M$724,12,0)</f>
        <v>694057</v>
      </c>
      <c r="M99" s="118">
        <f t="shared" si="4"/>
        <v>0</v>
      </c>
      <c r="N99" s="481">
        <f t="shared" si="5"/>
        <v>0</v>
      </c>
    </row>
    <row r="100" spans="1:14">
      <c r="A100" s="111">
        <v>96</v>
      </c>
      <c r="B100" s="111" t="s">
        <v>745</v>
      </c>
      <c r="C100" s="111" t="s">
        <v>746</v>
      </c>
      <c r="D100" s="111" t="s">
        <v>747</v>
      </c>
      <c r="E100" s="111" t="s">
        <v>935</v>
      </c>
      <c r="F100" s="111" t="s">
        <v>920</v>
      </c>
      <c r="G100" s="111" t="s">
        <v>927</v>
      </c>
      <c r="H100" s="191">
        <v>1118733</v>
      </c>
      <c r="I100" s="172">
        <f t="shared" si="3"/>
        <v>1118733</v>
      </c>
      <c r="J100" s="111"/>
      <c r="L100" s="41">
        <f>VLOOKUP(E100,[3]단가!B$4:M$724,12,0)</f>
        <v>1118733</v>
      </c>
      <c r="M100" s="118">
        <f t="shared" si="4"/>
        <v>0</v>
      </c>
      <c r="N100" s="481">
        <f t="shared" si="5"/>
        <v>0</v>
      </c>
    </row>
    <row r="101" spans="1:14">
      <c r="A101" s="111">
        <v>97</v>
      </c>
      <c r="B101" s="111" t="s">
        <v>745</v>
      </c>
      <c r="C101" s="111" t="s">
        <v>746</v>
      </c>
      <c r="D101" s="111" t="s">
        <v>747</v>
      </c>
      <c r="E101" s="111" t="s">
        <v>936</v>
      </c>
      <c r="F101" s="111" t="s">
        <v>937</v>
      </c>
      <c r="G101" s="111" t="s">
        <v>938</v>
      </c>
      <c r="H101" s="191">
        <v>1319297</v>
      </c>
      <c r="I101" s="172">
        <f t="shared" si="3"/>
        <v>1319297</v>
      </c>
      <c r="J101" s="111"/>
      <c r="L101" s="41">
        <f>VLOOKUP(E101,[3]단가!B$4:M$724,12,0)</f>
        <v>1319297</v>
      </c>
      <c r="M101" s="118">
        <f t="shared" si="4"/>
        <v>0</v>
      </c>
      <c r="N101" s="481">
        <f t="shared" si="5"/>
        <v>0</v>
      </c>
    </row>
    <row r="102" spans="1:14">
      <c r="A102" s="111">
        <v>98</v>
      </c>
      <c r="B102" s="111" t="s">
        <v>745</v>
      </c>
      <c r="C102" s="111" t="s">
        <v>746</v>
      </c>
      <c r="D102" s="111" t="s">
        <v>747</v>
      </c>
      <c r="E102" s="111" t="s">
        <v>939</v>
      </c>
      <c r="F102" s="111" t="s">
        <v>937</v>
      </c>
      <c r="G102" s="111" t="s">
        <v>940</v>
      </c>
      <c r="H102" s="191">
        <v>1345484</v>
      </c>
      <c r="I102" s="172">
        <f t="shared" si="3"/>
        <v>1345484</v>
      </c>
      <c r="J102" s="111"/>
      <c r="L102" s="41">
        <f>VLOOKUP(E102,[3]단가!B$4:M$724,12,0)</f>
        <v>1345484</v>
      </c>
      <c r="M102" s="118">
        <f t="shared" si="4"/>
        <v>0</v>
      </c>
      <c r="N102" s="481">
        <f t="shared" si="5"/>
        <v>0</v>
      </c>
    </row>
    <row r="103" spans="1:14">
      <c r="A103" s="111">
        <v>99</v>
      </c>
      <c r="B103" s="111" t="s">
        <v>745</v>
      </c>
      <c r="C103" s="111" t="s">
        <v>746</v>
      </c>
      <c r="D103" s="111" t="s">
        <v>747</v>
      </c>
      <c r="E103" s="111" t="s">
        <v>941</v>
      </c>
      <c r="F103" s="111" t="s">
        <v>937</v>
      </c>
      <c r="G103" s="111" t="s">
        <v>942</v>
      </c>
      <c r="H103" s="191">
        <v>1471344</v>
      </c>
      <c r="I103" s="172">
        <f t="shared" si="3"/>
        <v>1471344</v>
      </c>
      <c r="J103" s="111"/>
      <c r="L103" s="41">
        <f>VLOOKUP(E103,[3]단가!B$4:M$724,12,0)</f>
        <v>1471344</v>
      </c>
      <c r="M103" s="118">
        <f t="shared" si="4"/>
        <v>0</v>
      </c>
      <c r="N103" s="481">
        <f t="shared" si="5"/>
        <v>0</v>
      </c>
    </row>
    <row r="104" spans="1:14">
      <c r="A104" s="111">
        <v>100</v>
      </c>
      <c r="B104" s="111" t="s">
        <v>745</v>
      </c>
      <c r="C104" s="111" t="s">
        <v>746</v>
      </c>
      <c r="D104" s="111" t="s">
        <v>747</v>
      </c>
      <c r="E104" s="111" t="s">
        <v>943</v>
      </c>
      <c r="F104" s="111" t="s">
        <v>937</v>
      </c>
      <c r="G104" s="111" t="s">
        <v>944</v>
      </c>
      <c r="H104" s="191">
        <v>2031319</v>
      </c>
      <c r="I104" s="172">
        <f t="shared" si="3"/>
        <v>2031319</v>
      </c>
      <c r="J104" s="111"/>
      <c r="L104" s="41">
        <f>VLOOKUP(E104,[3]단가!B$4:M$724,12,0)</f>
        <v>2031319</v>
      </c>
      <c r="M104" s="118">
        <f t="shared" si="4"/>
        <v>0</v>
      </c>
      <c r="N104" s="481">
        <f t="shared" si="5"/>
        <v>0</v>
      </c>
    </row>
    <row r="105" spans="1:14">
      <c r="A105" s="111">
        <v>101</v>
      </c>
      <c r="B105" s="111" t="s">
        <v>745</v>
      </c>
      <c r="C105" s="111" t="s">
        <v>746</v>
      </c>
      <c r="D105" s="111" t="s">
        <v>747</v>
      </c>
      <c r="E105" s="111" t="s">
        <v>945</v>
      </c>
      <c r="F105" s="111" t="s">
        <v>937</v>
      </c>
      <c r="G105" s="111" t="s">
        <v>938</v>
      </c>
      <c r="H105" s="191">
        <v>1319297</v>
      </c>
      <c r="I105" s="172">
        <f t="shared" si="3"/>
        <v>1319297</v>
      </c>
      <c r="J105" s="111"/>
      <c r="L105" s="41">
        <f>VLOOKUP(E105,[3]단가!B$4:M$724,12,0)</f>
        <v>1319297</v>
      </c>
      <c r="M105" s="118">
        <f t="shared" si="4"/>
        <v>0</v>
      </c>
      <c r="N105" s="481">
        <f t="shared" si="5"/>
        <v>0</v>
      </c>
    </row>
    <row r="106" spans="1:14">
      <c r="A106" s="111">
        <v>102</v>
      </c>
      <c r="B106" s="111" t="s">
        <v>745</v>
      </c>
      <c r="C106" s="111" t="s">
        <v>746</v>
      </c>
      <c r="D106" s="111" t="s">
        <v>747</v>
      </c>
      <c r="E106" s="111" t="s">
        <v>946</v>
      </c>
      <c r="F106" s="111" t="s">
        <v>937</v>
      </c>
      <c r="G106" s="111" t="s">
        <v>940</v>
      </c>
      <c r="H106" s="191">
        <v>1345484</v>
      </c>
      <c r="I106" s="172">
        <f t="shared" si="3"/>
        <v>1345484</v>
      </c>
      <c r="J106" s="111"/>
      <c r="L106" s="41">
        <f>VLOOKUP(E106,[3]단가!B$4:M$724,12,0)</f>
        <v>1345484</v>
      </c>
      <c r="M106" s="118">
        <f t="shared" si="4"/>
        <v>0</v>
      </c>
      <c r="N106" s="481">
        <f t="shared" si="5"/>
        <v>0</v>
      </c>
    </row>
    <row r="107" spans="1:14">
      <c r="A107" s="111">
        <v>103</v>
      </c>
      <c r="B107" s="111" t="s">
        <v>745</v>
      </c>
      <c r="C107" s="111" t="s">
        <v>746</v>
      </c>
      <c r="D107" s="111" t="s">
        <v>747</v>
      </c>
      <c r="E107" s="111" t="s">
        <v>947</v>
      </c>
      <c r="F107" s="111" t="s">
        <v>937</v>
      </c>
      <c r="G107" s="111" t="s">
        <v>942</v>
      </c>
      <c r="H107" s="191">
        <v>1471344</v>
      </c>
      <c r="I107" s="172">
        <f t="shared" si="3"/>
        <v>1471344</v>
      </c>
      <c r="J107" s="111"/>
      <c r="L107" s="41">
        <f>VLOOKUP(E107,[3]단가!B$4:M$724,12,0)</f>
        <v>1471344</v>
      </c>
      <c r="M107" s="118">
        <f t="shared" si="4"/>
        <v>0</v>
      </c>
      <c r="N107" s="481">
        <f t="shared" si="5"/>
        <v>0</v>
      </c>
    </row>
    <row r="108" spans="1:14">
      <c r="A108" s="111">
        <v>104</v>
      </c>
      <c r="B108" s="111" t="s">
        <v>745</v>
      </c>
      <c r="C108" s="111" t="s">
        <v>746</v>
      </c>
      <c r="D108" s="111" t="s">
        <v>747</v>
      </c>
      <c r="E108" s="111" t="s">
        <v>948</v>
      </c>
      <c r="F108" s="111" t="s">
        <v>937</v>
      </c>
      <c r="G108" s="111" t="s">
        <v>944</v>
      </c>
      <c r="H108" s="191">
        <v>2031319</v>
      </c>
      <c r="I108" s="172">
        <f t="shared" si="3"/>
        <v>2031319</v>
      </c>
      <c r="J108" s="111"/>
      <c r="L108" s="41">
        <f>VLOOKUP(E108,[3]단가!B$4:M$724,12,0)</f>
        <v>2031319</v>
      </c>
      <c r="M108" s="118">
        <f t="shared" si="4"/>
        <v>0</v>
      </c>
      <c r="N108" s="481">
        <f t="shared" si="5"/>
        <v>0</v>
      </c>
    </row>
    <row r="109" spans="1:14">
      <c r="A109" s="111">
        <v>105</v>
      </c>
      <c r="B109" s="111" t="s">
        <v>745</v>
      </c>
      <c r="C109" s="111" t="s">
        <v>746</v>
      </c>
      <c r="D109" s="111" t="s">
        <v>747</v>
      </c>
      <c r="E109" s="111" t="s">
        <v>949</v>
      </c>
      <c r="F109" s="111" t="s">
        <v>937</v>
      </c>
      <c r="G109" s="111" t="s">
        <v>938</v>
      </c>
      <c r="H109" s="191">
        <v>1319297</v>
      </c>
      <c r="I109" s="172">
        <f t="shared" si="3"/>
        <v>1319297</v>
      </c>
      <c r="J109" s="111"/>
      <c r="L109" s="41">
        <f>VLOOKUP(E109,[3]단가!B$4:M$724,12,0)</f>
        <v>1319297</v>
      </c>
      <c r="M109" s="118">
        <f t="shared" si="4"/>
        <v>0</v>
      </c>
      <c r="N109" s="481">
        <f t="shared" si="5"/>
        <v>0</v>
      </c>
    </row>
    <row r="110" spans="1:14">
      <c r="A110" s="111">
        <v>106</v>
      </c>
      <c r="B110" s="111" t="s">
        <v>745</v>
      </c>
      <c r="C110" s="111" t="s">
        <v>746</v>
      </c>
      <c r="D110" s="111" t="s">
        <v>747</v>
      </c>
      <c r="E110" s="111" t="s">
        <v>950</v>
      </c>
      <c r="F110" s="111" t="s">
        <v>937</v>
      </c>
      <c r="G110" s="111" t="s">
        <v>940</v>
      </c>
      <c r="H110" s="191">
        <v>1345484</v>
      </c>
      <c r="I110" s="172">
        <f t="shared" si="3"/>
        <v>1345484</v>
      </c>
      <c r="J110" s="111"/>
      <c r="L110" s="41">
        <f>VLOOKUP(E110,[3]단가!B$4:M$724,12,0)</f>
        <v>1345484</v>
      </c>
      <c r="M110" s="118">
        <f t="shared" si="4"/>
        <v>0</v>
      </c>
      <c r="N110" s="481">
        <f t="shared" si="5"/>
        <v>0</v>
      </c>
    </row>
    <row r="111" spans="1:14">
      <c r="A111" s="111">
        <v>107</v>
      </c>
      <c r="B111" s="111" t="s">
        <v>745</v>
      </c>
      <c r="C111" s="111" t="s">
        <v>746</v>
      </c>
      <c r="D111" s="111" t="s">
        <v>747</v>
      </c>
      <c r="E111" s="111" t="s">
        <v>951</v>
      </c>
      <c r="F111" s="111" t="s">
        <v>937</v>
      </c>
      <c r="G111" s="111" t="s">
        <v>942</v>
      </c>
      <c r="H111" s="191">
        <v>1471344</v>
      </c>
      <c r="I111" s="172">
        <f t="shared" si="3"/>
        <v>1471344</v>
      </c>
      <c r="J111" s="111"/>
      <c r="L111" s="41">
        <f>VLOOKUP(E111,[3]단가!B$4:M$724,12,0)</f>
        <v>1471344</v>
      </c>
      <c r="M111" s="118">
        <f t="shared" si="4"/>
        <v>0</v>
      </c>
      <c r="N111" s="481">
        <f t="shared" si="5"/>
        <v>0</v>
      </c>
    </row>
    <row r="112" spans="1:14">
      <c r="A112" s="111">
        <v>108</v>
      </c>
      <c r="B112" s="111" t="s">
        <v>745</v>
      </c>
      <c r="C112" s="111" t="s">
        <v>746</v>
      </c>
      <c r="D112" s="111" t="s">
        <v>747</v>
      </c>
      <c r="E112" s="111" t="s">
        <v>952</v>
      </c>
      <c r="F112" s="111" t="s">
        <v>937</v>
      </c>
      <c r="G112" s="111" t="s">
        <v>944</v>
      </c>
      <c r="H112" s="191">
        <v>2031319</v>
      </c>
      <c r="I112" s="172">
        <f t="shared" si="3"/>
        <v>2031319</v>
      </c>
      <c r="J112" s="111"/>
      <c r="L112" s="41">
        <f>VLOOKUP(E112,[3]단가!B$4:M$724,12,0)</f>
        <v>2031319</v>
      </c>
      <c r="M112" s="118">
        <f t="shared" si="4"/>
        <v>0</v>
      </c>
      <c r="N112" s="481">
        <f t="shared" si="5"/>
        <v>0</v>
      </c>
    </row>
    <row r="113" spans="1:14">
      <c r="A113" s="111">
        <v>109</v>
      </c>
      <c r="B113" s="111" t="s">
        <v>745</v>
      </c>
      <c r="C113" s="111" t="s">
        <v>746</v>
      </c>
      <c r="D113" s="111" t="s">
        <v>747</v>
      </c>
      <c r="E113" s="111" t="s">
        <v>953</v>
      </c>
      <c r="F113" s="111" t="s">
        <v>954</v>
      </c>
      <c r="G113" s="111" t="s">
        <v>955</v>
      </c>
      <c r="H113" s="191">
        <v>1319297</v>
      </c>
      <c r="I113" s="172">
        <f t="shared" si="3"/>
        <v>1319297</v>
      </c>
      <c r="J113" s="111"/>
      <c r="L113" s="41">
        <f>VLOOKUP(E113,[3]단가!B$4:M$724,12,0)</f>
        <v>1319297</v>
      </c>
      <c r="M113" s="118">
        <f t="shared" si="4"/>
        <v>0</v>
      </c>
      <c r="N113" s="481">
        <f t="shared" si="5"/>
        <v>0</v>
      </c>
    </row>
    <row r="114" spans="1:14">
      <c r="A114" s="111">
        <v>110</v>
      </c>
      <c r="B114" s="111" t="s">
        <v>745</v>
      </c>
      <c r="C114" s="111" t="s">
        <v>746</v>
      </c>
      <c r="D114" s="111" t="s">
        <v>747</v>
      </c>
      <c r="E114" s="111" t="s">
        <v>956</v>
      </c>
      <c r="F114" s="111" t="s">
        <v>954</v>
      </c>
      <c r="G114" s="111" t="s">
        <v>957</v>
      </c>
      <c r="H114" s="191">
        <v>1345484</v>
      </c>
      <c r="I114" s="172">
        <f t="shared" si="3"/>
        <v>1345484</v>
      </c>
      <c r="J114" s="111"/>
      <c r="L114" s="41">
        <f>VLOOKUP(E114,[3]단가!B$4:M$724,12,0)</f>
        <v>1345484</v>
      </c>
      <c r="M114" s="118">
        <f t="shared" si="4"/>
        <v>0</v>
      </c>
      <c r="N114" s="481">
        <f t="shared" si="5"/>
        <v>0</v>
      </c>
    </row>
    <row r="115" spans="1:14">
      <c r="A115" s="111">
        <v>111</v>
      </c>
      <c r="B115" s="111" t="s">
        <v>745</v>
      </c>
      <c r="C115" s="111" t="s">
        <v>746</v>
      </c>
      <c r="D115" s="111" t="s">
        <v>747</v>
      </c>
      <c r="E115" s="111" t="s">
        <v>958</v>
      </c>
      <c r="F115" s="111" t="s">
        <v>954</v>
      </c>
      <c r="G115" s="111" t="s">
        <v>959</v>
      </c>
      <c r="H115" s="191">
        <v>1471344</v>
      </c>
      <c r="I115" s="172">
        <f t="shared" si="3"/>
        <v>1471344</v>
      </c>
      <c r="J115" s="111"/>
      <c r="L115" s="41">
        <f>VLOOKUP(E115,[3]단가!B$4:M$724,12,0)</f>
        <v>1471344</v>
      </c>
      <c r="M115" s="118">
        <f t="shared" si="4"/>
        <v>0</v>
      </c>
      <c r="N115" s="481">
        <f t="shared" si="5"/>
        <v>0</v>
      </c>
    </row>
    <row r="116" spans="1:14">
      <c r="A116" s="111">
        <v>112</v>
      </c>
      <c r="B116" s="111" t="s">
        <v>745</v>
      </c>
      <c r="C116" s="111" t="s">
        <v>746</v>
      </c>
      <c r="D116" s="111" t="s">
        <v>747</v>
      </c>
      <c r="E116" s="111" t="s">
        <v>960</v>
      </c>
      <c r="F116" s="111" t="s">
        <v>954</v>
      </c>
      <c r="G116" s="111" t="s">
        <v>961</v>
      </c>
      <c r="H116" s="191">
        <v>2031319</v>
      </c>
      <c r="I116" s="172">
        <f t="shared" si="3"/>
        <v>2031319</v>
      </c>
      <c r="J116" s="111"/>
      <c r="L116" s="41">
        <f>VLOOKUP(E116,[3]단가!B$4:M$724,12,0)</f>
        <v>2031319</v>
      </c>
      <c r="M116" s="118">
        <f t="shared" si="4"/>
        <v>0</v>
      </c>
      <c r="N116" s="481">
        <f t="shared" si="5"/>
        <v>0</v>
      </c>
    </row>
    <row r="117" spans="1:14">
      <c r="A117" s="111">
        <v>113</v>
      </c>
      <c r="B117" s="111" t="s">
        <v>745</v>
      </c>
      <c r="C117" s="111" t="s">
        <v>746</v>
      </c>
      <c r="D117" s="111" t="s">
        <v>747</v>
      </c>
      <c r="E117" s="111" t="s">
        <v>962</v>
      </c>
      <c r="F117" s="111" t="s">
        <v>954</v>
      </c>
      <c r="G117" s="111" t="s">
        <v>955</v>
      </c>
      <c r="H117" s="191">
        <v>1319297</v>
      </c>
      <c r="I117" s="172">
        <f t="shared" si="3"/>
        <v>1319297</v>
      </c>
      <c r="J117" s="111"/>
      <c r="L117" s="41">
        <f>VLOOKUP(E117,[3]단가!B$4:M$724,12,0)</f>
        <v>1319297</v>
      </c>
      <c r="M117" s="118">
        <f t="shared" si="4"/>
        <v>0</v>
      </c>
      <c r="N117" s="481">
        <f t="shared" si="5"/>
        <v>0</v>
      </c>
    </row>
    <row r="118" spans="1:14">
      <c r="A118" s="111">
        <v>114</v>
      </c>
      <c r="B118" s="111" t="s">
        <v>745</v>
      </c>
      <c r="C118" s="111" t="s">
        <v>746</v>
      </c>
      <c r="D118" s="111" t="s">
        <v>747</v>
      </c>
      <c r="E118" s="111" t="s">
        <v>963</v>
      </c>
      <c r="F118" s="111" t="s">
        <v>954</v>
      </c>
      <c r="G118" s="111" t="s">
        <v>957</v>
      </c>
      <c r="H118" s="191">
        <v>1345484</v>
      </c>
      <c r="I118" s="172">
        <f t="shared" si="3"/>
        <v>1345484</v>
      </c>
      <c r="J118" s="111"/>
      <c r="L118" s="41">
        <f>VLOOKUP(E118,[3]단가!B$4:M$724,12,0)</f>
        <v>1345484</v>
      </c>
      <c r="M118" s="118">
        <f t="shared" si="4"/>
        <v>0</v>
      </c>
      <c r="N118" s="481">
        <f t="shared" si="5"/>
        <v>0</v>
      </c>
    </row>
    <row r="119" spans="1:14">
      <c r="A119" s="111">
        <v>115</v>
      </c>
      <c r="B119" s="111" t="s">
        <v>745</v>
      </c>
      <c r="C119" s="111" t="s">
        <v>746</v>
      </c>
      <c r="D119" s="111" t="s">
        <v>747</v>
      </c>
      <c r="E119" s="111" t="s">
        <v>964</v>
      </c>
      <c r="F119" s="111" t="s">
        <v>954</v>
      </c>
      <c r="G119" s="111" t="s">
        <v>959</v>
      </c>
      <c r="H119" s="191">
        <v>1471344</v>
      </c>
      <c r="I119" s="172">
        <f t="shared" si="3"/>
        <v>1471344</v>
      </c>
      <c r="J119" s="111"/>
      <c r="L119" s="41">
        <f>VLOOKUP(E119,[3]단가!B$4:M$724,12,0)</f>
        <v>1471344</v>
      </c>
      <c r="M119" s="118">
        <f t="shared" si="4"/>
        <v>0</v>
      </c>
      <c r="N119" s="481">
        <f t="shared" si="5"/>
        <v>0</v>
      </c>
    </row>
    <row r="120" spans="1:14">
      <c r="A120" s="111">
        <v>116</v>
      </c>
      <c r="B120" s="111" t="s">
        <v>745</v>
      </c>
      <c r="C120" s="111" t="s">
        <v>746</v>
      </c>
      <c r="D120" s="111" t="s">
        <v>747</v>
      </c>
      <c r="E120" s="111" t="s">
        <v>965</v>
      </c>
      <c r="F120" s="111" t="s">
        <v>954</v>
      </c>
      <c r="G120" s="111" t="s">
        <v>961</v>
      </c>
      <c r="H120" s="191">
        <v>2031319</v>
      </c>
      <c r="I120" s="172">
        <f t="shared" si="3"/>
        <v>2031319</v>
      </c>
      <c r="J120" s="111"/>
      <c r="L120" s="41">
        <f>VLOOKUP(E120,[3]단가!B$4:M$724,12,0)</f>
        <v>2031319</v>
      </c>
      <c r="M120" s="118">
        <f t="shared" si="4"/>
        <v>0</v>
      </c>
      <c r="N120" s="481">
        <f t="shared" si="5"/>
        <v>0</v>
      </c>
    </row>
    <row r="121" spans="1:14">
      <c r="A121" s="111">
        <v>117</v>
      </c>
      <c r="B121" s="111" t="s">
        <v>745</v>
      </c>
      <c r="C121" s="111" t="s">
        <v>746</v>
      </c>
      <c r="D121" s="111" t="s">
        <v>747</v>
      </c>
      <c r="E121" s="111" t="s">
        <v>966</v>
      </c>
      <c r="F121" s="111" t="s">
        <v>954</v>
      </c>
      <c r="G121" s="111" t="s">
        <v>955</v>
      </c>
      <c r="H121" s="191">
        <v>1319297</v>
      </c>
      <c r="I121" s="172">
        <f t="shared" si="3"/>
        <v>1319297</v>
      </c>
      <c r="J121" s="111"/>
      <c r="L121" s="41">
        <f>VLOOKUP(E121,[3]단가!B$4:M$724,12,0)</f>
        <v>1319297</v>
      </c>
      <c r="M121" s="118">
        <f t="shared" si="4"/>
        <v>0</v>
      </c>
      <c r="N121" s="481">
        <f t="shared" si="5"/>
        <v>0</v>
      </c>
    </row>
    <row r="122" spans="1:14">
      <c r="A122" s="111">
        <v>118</v>
      </c>
      <c r="B122" s="111" t="s">
        <v>745</v>
      </c>
      <c r="C122" s="111" t="s">
        <v>746</v>
      </c>
      <c r="D122" s="111" t="s">
        <v>747</v>
      </c>
      <c r="E122" s="111" t="s">
        <v>967</v>
      </c>
      <c r="F122" s="111" t="s">
        <v>954</v>
      </c>
      <c r="G122" s="111" t="s">
        <v>957</v>
      </c>
      <c r="H122" s="191">
        <v>1345484</v>
      </c>
      <c r="I122" s="172">
        <f t="shared" si="3"/>
        <v>1345484</v>
      </c>
      <c r="J122" s="111"/>
      <c r="L122" s="41">
        <f>VLOOKUP(E122,[3]단가!B$4:M$724,12,0)</f>
        <v>1345484</v>
      </c>
      <c r="M122" s="118">
        <f t="shared" si="4"/>
        <v>0</v>
      </c>
      <c r="N122" s="481">
        <f t="shared" si="5"/>
        <v>0</v>
      </c>
    </row>
    <row r="123" spans="1:14">
      <c r="A123" s="111">
        <v>119</v>
      </c>
      <c r="B123" s="111" t="s">
        <v>745</v>
      </c>
      <c r="C123" s="111" t="s">
        <v>746</v>
      </c>
      <c r="D123" s="111" t="s">
        <v>747</v>
      </c>
      <c r="E123" s="111" t="s">
        <v>968</v>
      </c>
      <c r="F123" s="111" t="s">
        <v>954</v>
      </c>
      <c r="G123" s="111" t="s">
        <v>959</v>
      </c>
      <c r="H123" s="191">
        <v>1471344</v>
      </c>
      <c r="I123" s="172">
        <f t="shared" si="3"/>
        <v>1471344</v>
      </c>
      <c r="J123" s="111"/>
      <c r="L123" s="41">
        <f>VLOOKUP(E123,[3]단가!B$4:M$724,12,0)</f>
        <v>1471344</v>
      </c>
      <c r="M123" s="118">
        <f t="shared" si="4"/>
        <v>0</v>
      </c>
      <c r="N123" s="481">
        <f t="shared" si="5"/>
        <v>0</v>
      </c>
    </row>
    <row r="124" spans="1:14">
      <c r="A124" s="111">
        <v>120</v>
      </c>
      <c r="B124" s="111" t="s">
        <v>745</v>
      </c>
      <c r="C124" s="111" t="s">
        <v>746</v>
      </c>
      <c r="D124" s="111" t="s">
        <v>747</v>
      </c>
      <c r="E124" s="111" t="s">
        <v>969</v>
      </c>
      <c r="F124" s="111" t="s">
        <v>954</v>
      </c>
      <c r="G124" s="111" t="s">
        <v>961</v>
      </c>
      <c r="H124" s="191">
        <v>2031319</v>
      </c>
      <c r="I124" s="172">
        <f t="shared" si="3"/>
        <v>2031319</v>
      </c>
      <c r="J124" s="111"/>
      <c r="L124" s="41">
        <f>VLOOKUP(E124,[3]단가!B$4:M$724,12,0)</f>
        <v>2031319</v>
      </c>
      <c r="M124" s="118">
        <f t="shared" si="4"/>
        <v>0</v>
      </c>
      <c r="N124" s="481">
        <f t="shared" si="5"/>
        <v>0</v>
      </c>
    </row>
    <row r="125" spans="1:14">
      <c r="A125" s="111">
        <v>121</v>
      </c>
      <c r="B125" s="111" t="s">
        <v>745</v>
      </c>
      <c r="C125" s="111" t="s">
        <v>970</v>
      </c>
      <c r="D125" s="111" t="s">
        <v>1530</v>
      </c>
      <c r="E125" s="111" t="s">
        <v>971</v>
      </c>
      <c r="F125" s="111" t="s">
        <v>972</v>
      </c>
      <c r="G125" s="111" t="s">
        <v>973</v>
      </c>
      <c r="H125" s="191">
        <v>455734.99999999994</v>
      </c>
      <c r="I125" s="172">
        <f t="shared" si="3"/>
        <v>501308.5</v>
      </c>
      <c r="J125" s="111"/>
      <c r="L125" s="41">
        <v>455734.99999999994</v>
      </c>
      <c r="M125" s="118">
        <f t="shared" si="4"/>
        <v>0</v>
      </c>
      <c r="N125" s="481">
        <f t="shared" si="5"/>
        <v>0</v>
      </c>
    </row>
    <row r="126" spans="1:14">
      <c r="A126" s="111">
        <v>122</v>
      </c>
      <c r="B126" s="111" t="s">
        <v>745</v>
      </c>
      <c r="C126" s="111" t="s">
        <v>970</v>
      </c>
      <c r="D126" s="111" t="s">
        <v>1530</v>
      </c>
      <c r="E126" s="111" t="s">
        <v>974</v>
      </c>
      <c r="F126" s="111" t="s">
        <v>972</v>
      </c>
      <c r="G126" s="111" t="s">
        <v>973</v>
      </c>
      <c r="H126" s="191">
        <v>466899.99999999994</v>
      </c>
      <c r="I126" s="172">
        <f t="shared" si="3"/>
        <v>513590</v>
      </c>
      <c r="J126" s="111"/>
      <c r="L126" s="41">
        <v>466899.99999999994</v>
      </c>
      <c r="M126" s="118">
        <f t="shared" si="4"/>
        <v>0</v>
      </c>
      <c r="N126" s="481">
        <f t="shared" si="5"/>
        <v>0</v>
      </c>
    </row>
    <row r="127" spans="1:14">
      <c r="A127" s="111">
        <v>123</v>
      </c>
      <c r="B127" s="111" t="s">
        <v>745</v>
      </c>
      <c r="C127" s="111" t="s">
        <v>970</v>
      </c>
      <c r="D127" s="111" t="s">
        <v>1530</v>
      </c>
      <c r="E127" s="111" t="s">
        <v>975</v>
      </c>
      <c r="F127" s="111" t="s">
        <v>972</v>
      </c>
      <c r="G127" s="111" t="s">
        <v>973</v>
      </c>
      <c r="H127" s="191">
        <v>482124.99999999994</v>
      </c>
      <c r="I127" s="172">
        <f t="shared" si="3"/>
        <v>530337.5</v>
      </c>
      <c r="J127" s="111"/>
      <c r="L127" s="41">
        <v>482124.99999999994</v>
      </c>
      <c r="M127" s="118">
        <f t="shared" si="4"/>
        <v>0</v>
      </c>
      <c r="N127" s="481">
        <f t="shared" si="5"/>
        <v>0</v>
      </c>
    </row>
    <row r="128" spans="1:14">
      <c r="A128" s="111">
        <v>124</v>
      </c>
      <c r="B128" s="111" t="s">
        <v>745</v>
      </c>
      <c r="C128" s="111" t="s">
        <v>970</v>
      </c>
      <c r="D128" s="111" t="s">
        <v>1530</v>
      </c>
      <c r="E128" s="111" t="s">
        <v>976</v>
      </c>
      <c r="F128" s="111" t="s">
        <v>977</v>
      </c>
      <c r="G128" s="111" t="s">
        <v>978</v>
      </c>
      <c r="H128" s="191">
        <v>455734.99999999994</v>
      </c>
      <c r="I128" s="172">
        <f t="shared" si="3"/>
        <v>501308.5</v>
      </c>
      <c r="J128" s="111"/>
      <c r="L128" s="41">
        <v>455734.99999999994</v>
      </c>
      <c r="M128" s="118">
        <f t="shared" si="4"/>
        <v>0</v>
      </c>
      <c r="N128" s="481">
        <f t="shared" si="5"/>
        <v>0</v>
      </c>
    </row>
    <row r="129" spans="1:14">
      <c r="A129" s="111">
        <v>125</v>
      </c>
      <c r="B129" s="111" t="s">
        <v>745</v>
      </c>
      <c r="C129" s="111" t="s">
        <v>970</v>
      </c>
      <c r="D129" s="111" t="s">
        <v>1530</v>
      </c>
      <c r="E129" s="111" t="s">
        <v>979</v>
      </c>
      <c r="F129" s="111" t="s">
        <v>977</v>
      </c>
      <c r="G129" s="111" t="s">
        <v>978</v>
      </c>
      <c r="H129" s="191">
        <v>466899.99999999994</v>
      </c>
      <c r="I129" s="172">
        <f t="shared" si="3"/>
        <v>513590</v>
      </c>
      <c r="J129" s="111"/>
      <c r="L129" s="41">
        <v>466899.99999999994</v>
      </c>
      <c r="M129" s="118">
        <f t="shared" si="4"/>
        <v>0</v>
      </c>
      <c r="N129" s="481">
        <f t="shared" si="5"/>
        <v>0</v>
      </c>
    </row>
    <row r="130" spans="1:14">
      <c r="A130" s="111">
        <v>126</v>
      </c>
      <c r="B130" s="111" t="s">
        <v>745</v>
      </c>
      <c r="C130" s="111" t="s">
        <v>970</v>
      </c>
      <c r="D130" s="111" t="s">
        <v>1530</v>
      </c>
      <c r="E130" s="111" t="s">
        <v>980</v>
      </c>
      <c r="F130" s="111" t="s">
        <v>977</v>
      </c>
      <c r="G130" s="111" t="s">
        <v>978</v>
      </c>
      <c r="H130" s="191">
        <v>482124.99999999994</v>
      </c>
      <c r="I130" s="172">
        <f t="shared" si="3"/>
        <v>530337.5</v>
      </c>
      <c r="J130" s="111"/>
      <c r="L130" s="41">
        <v>482124.99999999994</v>
      </c>
      <c r="M130" s="118">
        <f t="shared" si="4"/>
        <v>0</v>
      </c>
      <c r="N130" s="481">
        <f t="shared" si="5"/>
        <v>0</v>
      </c>
    </row>
    <row r="131" spans="1:14">
      <c r="A131" s="111">
        <v>127</v>
      </c>
      <c r="B131" s="111" t="s">
        <v>745</v>
      </c>
      <c r="C131" s="111" t="s">
        <v>970</v>
      </c>
      <c r="D131" s="111" t="s">
        <v>747</v>
      </c>
      <c r="E131" s="111" t="s">
        <v>981</v>
      </c>
      <c r="F131" s="111" t="s">
        <v>808</v>
      </c>
      <c r="G131" s="111" t="s">
        <v>982</v>
      </c>
      <c r="H131" s="191">
        <v>228781</v>
      </c>
      <c r="I131" s="172">
        <f t="shared" si="3"/>
        <v>228781</v>
      </c>
      <c r="J131" s="111"/>
      <c r="L131" s="41">
        <f>VLOOKUP(E131,[3]단가!B$4:M$724,12,0)</f>
        <v>228781</v>
      </c>
      <c r="M131" s="118">
        <f t="shared" si="4"/>
        <v>0</v>
      </c>
      <c r="N131" s="481">
        <f t="shared" si="5"/>
        <v>0</v>
      </c>
    </row>
    <row r="132" spans="1:14">
      <c r="A132" s="111">
        <v>128</v>
      </c>
      <c r="B132" s="111" t="s">
        <v>745</v>
      </c>
      <c r="C132" s="111" t="s">
        <v>970</v>
      </c>
      <c r="D132" s="111" t="s">
        <v>1530</v>
      </c>
      <c r="E132" s="111" t="s">
        <v>983</v>
      </c>
      <c r="F132" s="111" t="s">
        <v>972</v>
      </c>
      <c r="G132" s="111" t="s">
        <v>973</v>
      </c>
      <c r="H132" s="191">
        <v>547085</v>
      </c>
      <c r="I132" s="172">
        <f t="shared" si="3"/>
        <v>601793.5</v>
      </c>
      <c r="J132" s="111"/>
      <c r="L132" s="41">
        <v>547085</v>
      </c>
      <c r="M132" s="118">
        <f t="shared" si="4"/>
        <v>0</v>
      </c>
      <c r="N132" s="481">
        <f t="shared" si="5"/>
        <v>0</v>
      </c>
    </row>
    <row r="133" spans="1:14">
      <c r="A133" s="111">
        <v>129</v>
      </c>
      <c r="B133" s="111" t="s">
        <v>745</v>
      </c>
      <c r="C133" s="111" t="s">
        <v>970</v>
      </c>
      <c r="D133" s="111" t="s">
        <v>1530</v>
      </c>
      <c r="E133" s="111" t="s">
        <v>984</v>
      </c>
      <c r="F133" s="111" t="s">
        <v>972</v>
      </c>
      <c r="G133" s="111" t="s">
        <v>973</v>
      </c>
      <c r="H133" s="191">
        <v>558250</v>
      </c>
      <c r="I133" s="172">
        <f t="shared" ref="I133:I196" si="6">IF(D133="Y",H133*$I$3,H133*$J$3)</f>
        <v>614075</v>
      </c>
      <c r="J133" s="111"/>
      <c r="L133" s="41">
        <v>558250</v>
      </c>
      <c r="M133" s="118">
        <f t="shared" si="4"/>
        <v>0</v>
      </c>
      <c r="N133" s="481">
        <f t="shared" si="5"/>
        <v>0</v>
      </c>
    </row>
    <row r="134" spans="1:14">
      <c r="A134" s="111">
        <v>130</v>
      </c>
      <c r="B134" s="111" t="s">
        <v>745</v>
      </c>
      <c r="C134" s="111" t="s">
        <v>970</v>
      </c>
      <c r="D134" s="111" t="s">
        <v>1530</v>
      </c>
      <c r="E134" s="111" t="s">
        <v>985</v>
      </c>
      <c r="F134" s="111" t="s">
        <v>972</v>
      </c>
      <c r="G134" s="111" t="s">
        <v>973</v>
      </c>
      <c r="H134" s="191">
        <v>569415</v>
      </c>
      <c r="I134" s="172">
        <f t="shared" si="6"/>
        <v>626356.5</v>
      </c>
      <c r="J134" s="111"/>
      <c r="L134" s="41">
        <v>569415</v>
      </c>
      <c r="M134" s="118">
        <f t="shared" ref="M134:M197" si="7">L134-H134</f>
        <v>0</v>
      </c>
      <c r="N134" s="481">
        <f t="shared" ref="N134:N197" si="8">M134/H134</f>
        <v>0</v>
      </c>
    </row>
    <row r="135" spans="1:14">
      <c r="A135" s="111">
        <v>131</v>
      </c>
      <c r="B135" s="111" t="s">
        <v>745</v>
      </c>
      <c r="C135" s="111" t="s">
        <v>970</v>
      </c>
      <c r="D135" s="111" t="s">
        <v>1530</v>
      </c>
      <c r="E135" s="111" t="s">
        <v>986</v>
      </c>
      <c r="F135" s="111" t="s">
        <v>977</v>
      </c>
      <c r="G135" s="111" t="s">
        <v>978</v>
      </c>
      <c r="H135" s="191">
        <v>547085</v>
      </c>
      <c r="I135" s="172">
        <f t="shared" si="6"/>
        <v>601793.5</v>
      </c>
      <c r="J135" s="111"/>
      <c r="L135" s="41">
        <v>547085</v>
      </c>
      <c r="M135" s="118">
        <f t="shared" si="7"/>
        <v>0</v>
      </c>
      <c r="N135" s="481">
        <f t="shared" si="8"/>
        <v>0</v>
      </c>
    </row>
    <row r="136" spans="1:14">
      <c r="A136" s="111">
        <v>132</v>
      </c>
      <c r="B136" s="111" t="s">
        <v>745</v>
      </c>
      <c r="C136" s="111" t="s">
        <v>970</v>
      </c>
      <c r="D136" s="111" t="s">
        <v>1530</v>
      </c>
      <c r="E136" s="111" t="s">
        <v>987</v>
      </c>
      <c r="F136" s="111" t="s">
        <v>977</v>
      </c>
      <c r="G136" s="111" t="s">
        <v>978</v>
      </c>
      <c r="H136" s="191">
        <v>558250</v>
      </c>
      <c r="I136" s="172">
        <f t="shared" si="6"/>
        <v>614075</v>
      </c>
      <c r="J136" s="111"/>
      <c r="L136" s="41">
        <v>558250</v>
      </c>
      <c r="M136" s="118">
        <f t="shared" si="7"/>
        <v>0</v>
      </c>
      <c r="N136" s="481">
        <f t="shared" si="8"/>
        <v>0</v>
      </c>
    </row>
    <row r="137" spans="1:14">
      <c r="A137" s="111">
        <v>133</v>
      </c>
      <c r="B137" s="111" t="s">
        <v>745</v>
      </c>
      <c r="C137" s="111" t="s">
        <v>970</v>
      </c>
      <c r="D137" s="111" t="s">
        <v>1530</v>
      </c>
      <c r="E137" s="111" t="s">
        <v>988</v>
      </c>
      <c r="F137" s="111" t="s">
        <v>977</v>
      </c>
      <c r="G137" s="111" t="s">
        <v>978</v>
      </c>
      <c r="H137" s="191">
        <v>569415</v>
      </c>
      <c r="I137" s="172">
        <f t="shared" si="6"/>
        <v>626356.5</v>
      </c>
      <c r="J137" s="111"/>
      <c r="L137" s="41">
        <v>569415</v>
      </c>
      <c r="M137" s="118">
        <f t="shared" si="7"/>
        <v>0</v>
      </c>
      <c r="N137" s="481">
        <f t="shared" si="8"/>
        <v>0</v>
      </c>
    </row>
    <row r="138" spans="1:14">
      <c r="A138" s="111">
        <v>134</v>
      </c>
      <c r="B138" s="111" t="s">
        <v>745</v>
      </c>
      <c r="C138" s="111" t="s">
        <v>970</v>
      </c>
      <c r="D138" s="111" t="s">
        <v>747</v>
      </c>
      <c r="E138" s="111" t="s">
        <v>989</v>
      </c>
      <c r="F138" s="111" t="s">
        <v>808</v>
      </c>
      <c r="G138" s="111" t="s">
        <v>990</v>
      </c>
      <c r="H138" s="191">
        <v>416759</v>
      </c>
      <c r="I138" s="172">
        <f t="shared" si="6"/>
        <v>416759</v>
      </c>
      <c r="J138" s="111"/>
      <c r="L138" s="41">
        <f>VLOOKUP(E138,[3]단가!B$4:M$724,12,0)</f>
        <v>416759</v>
      </c>
      <c r="M138" s="118">
        <f t="shared" si="7"/>
        <v>0</v>
      </c>
      <c r="N138" s="481">
        <f t="shared" si="8"/>
        <v>0</v>
      </c>
    </row>
    <row r="139" spans="1:14">
      <c r="A139" s="111">
        <v>135</v>
      </c>
      <c r="B139" s="111" t="s">
        <v>745</v>
      </c>
      <c r="C139" s="111" t="s">
        <v>970</v>
      </c>
      <c r="D139" s="111" t="s">
        <v>1530</v>
      </c>
      <c r="E139" s="111" t="s">
        <v>991</v>
      </c>
      <c r="F139" s="111" t="s">
        <v>992</v>
      </c>
      <c r="G139" s="111" t="s">
        <v>993</v>
      </c>
      <c r="H139" s="191">
        <v>455734.99999999994</v>
      </c>
      <c r="I139" s="172">
        <f t="shared" si="6"/>
        <v>501308.5</v>
      </c>
      <c r="J139" s="111"/>
      <c r="L139" s="41">
        <v>455734.99999999994</v>
      </c>
      <c r="M139" s="118">
        <f t="shared" si="7"/>
        <v>0</v>
      </c>
      <c r="N139" s="481">
        <f t="shared" si="8"/>
        <v>0</v>
      </c>
    </row>
    <row r="140" spans="1:14">
      <c r="A140" s="111">
        <v>136</v>
      </c>
      <c r="B140" s="111" t="s">
        <v>745</v>
      </c>
      <c r="C140" s="111" t="s">
        <v>970</v>
      </c>
      <c r="D140" s="111" t="s">
        <v>1530</v>
      </c>
      <c r="E140" s="111" t="s">
        <v>994</v>
      </c>
      <c r="F140" s="111" t="s">
        <v>992</v>
      </c>
      <c r="G140" s="111" t="s">
        <v>993</v>
      </c>
      <c r="H140" s="191">
        <v>466899.99999999994</v>
      </c>
      <c r="I140" s="172">
        <f t="shared" si="6"/>
        <v>513590</v>
      </c>
      <c r="J140" s="111"/>
      <c r="L140" s="41">
        <v>466899.99999999994</v>
      </c>
      <c r="M140" s="118">
        <f t="shared" si="7"/>
        <v>0</v>
      </c>
      <c r="N140" s="481">
        <f t="shared" si="8"/>
        <v>0</v>
      </c>
    </row>
    <row r="141" spans="1:14">
      <c r="A141" s="111">
        <v>137</v>
      </c>
      <c r="B141" s="111" t="s">
        <v>745</v>
      </c>
      <c r="C141" s="111" t="s">
        <v>970</v>
      </c>
      <c r="D141" s="111" t="s">
        <v>1530</v>
      </c>
      <c r="E141" s="111" t="s">
        <v>995</v>
      </c>
      <c r="F141" s="111" t="s">
        <v>992</v>
      </c>
      <c r="G141" s="111" t="s">
        <v>993</v>
      </c>
      <c r="H141" s="191">
        <v>482124.99999999994</v>
      </c>
      <c r="I141" s="172">
        <f t="shared" si="6"/>
        <v>530337.5</v>
      </c>
      <c r="J141" s="111"/>
      <c r="L141" s="41">
        <v>482124.99999999994</v>
      </c>
      <c r="M141" s="118">
        <f t="shared" si="7"/>
        <v>0</v>
      </c>
      <c r="N141" s="481">
        <f t="shared" si="8"/>
        <v>0</v>
      </c>
    </row>
    <row r="142" spans="1:14">
      <c r="A142" s="111">
        <v>138</v>
      </c>
      <c r="B142" s="111" t="s">
        <v>745</v>
      </c>
      <c r="C142" s="111" t="s">
        <v>970</v>
      </c>
      <c r="D142" s="111" t="s">
        <v>1530</v>
      </c>
      <c r="E142" s="111" t="s">
        <v>996</v>
      </c>
      <c r="F142" s="111" t="s">
        <v>997</v>
      </c>
      <c r="G142" s="111" t="s">
        <v>998</v>
      </c>
      <c r="H142" s="191">
        <v>455734.99999999994</v>
      </c>
      <c r="I142" s="172">
        <f t="shared" si="6"/>
        <v>501308.5</v>
      </c>
      <c r="J142" s="111"/>
      <c r="L142" s="41">
        <v>455734.99999999994</v>
      </c>
      <c r="M142" s="118">
        <f t="shared" si="7"/>
        <v>0</v>
      </c>
      <c r="N142" s="481">
        <f t="shared" si="8"/>
        <v>0</v>
      </c>
    </row>
    <row r="143" spans="1:14">
      <c r="A143" s="111">
        <v>139</v>
      </c>
      <c r="B143" s="111" t="s">
        <v>745</v>
      </c>
      <c r="C143" s="111" t="s">
        <v>970</v>
      </c>
      <c r="D143" s="111" t="s">
        <v>1530</v>
      </c>
      <c r="E143" s="111" t="s">
        <v>999</v>
      </c>
      <c r="F143" s="111" t="s">
        <v>997</v>
      </c>
      <c r="G143" s="111" t="s">
        <v>998</v>
      </c>
      <c r="H143" s="191">
        <v>466899.99999999994</v>
      </c>
      <c r="I143" s="172">
        <f t="shared" si="6"/>
        <v>513590</v>
      </c>
      <c r="J143" s="111"/>
      <c r="L143" s="41">
        <v>466899.99999999994</v>
      </c>
      <c r="M143" s="118">
        <f t="shared" si="7"/>
        <v>0</v>
      </c>
      <c r="N143" s="481">
        <f t="shared" si="8"/>
        <v>0</v>
      </c>
    </row>
    <row r="144" spans="1:14">
      <c r="A144" s="111">
        <v>140</v>
      </c>
      <c r="B144" s="111" t="s">
        <v>745</v>
      </c>
      <c r="C144" s="111" t="s">
        <v>970</v>
      </c>
      <c r="D144" s="111" t="s">
        <v>1530</v>
      </c>
      <c r="E144" s="111" t="s">
        <v>1000</v>
      </c>
      <c r="F144" s="111" t="s">
        <v>997</v>
      </c>
      <c r="G144" s="111" t="s">
        <v>998</v>
      </c>
      <c r="H144" s="191">
        <v>482124.99999999994</v>
      </c>
      <c r="I144" s="172">
        <f t="shared" si="6"/>
        <v>530337.5</v>
      </c>
      <c r="J144" s="111"/>
      <c r="L144" s="41">
        <v>482124.99999999994</v>
      </c>
      <c r="M144" s="118">
        <f t="shared" si="7"/>
        <v>0</v>
      </c>
      <c r="N144" s="481">
        <f t="shared" si="8"/>
        <v>0</v>
      </c>
    </row>
    <row r="145" spans="1:14">
      <c r="A145" s="111">
        <v>141</v>
      </c>
      <c r="B145" s="111" t="s">
        <v>745</v>
      </c>
      <c r="C145" s="111" t="s">
        <v>970</v>
      </c>
      <c r="D145" s="111" t="s">
        <v>747</v>
      </c>
      <c r="E145" s="111" t="s">
        <v>1001</v>
      </c>
      <c r="F145" s="111" t="s">
        <v>876</v>
      </c>
      <c r="G145" s="111" t="s">
        <v>1002</v>
      </c>
      <c r="H145" s="191">
        <v>228781</v>
      </c>
      <c r="I145" s="172">
        <f t="shared" si="6"/>
        <v>228781</v>
      </c>
      <c r="J145" s="111"/>
      <c r="L145" s="41">
        <f>VLOOKUP(E145,[3]단가!B$4:M$724,12,0)</f>
        <v>228781</v>
      </c>
      <c r="M145" s="118">
        <f t="shared" si="7"/>
        <v>0</v>
      </c>
      <c r="N145" s="481">
        <f t="shared" si="8"/>
        <v>0</v>
      </c>
    </row>
    <row r="146" spans="1:14">
      <c r="A146" s="111">
        <v>142</v>
      </c>
      <c r="B146" s="111" t="s">
        <v>745</v>
      </c>
      <c r="C146" s="111" t="s">
        <v>970</v>
      </c>
      <c r="D146" s="111" t="s">
        <v>1530</v>
      </c>
      <c r="E146" s="111" t="s">
        <v>1003</v>
      </c>
      <c r="F146" s="111" t="s">
        <v>992</v>
      </c>
      <c r="G146" s="111" t="s">
        <v>993</v>
      </c>
      <c r="H146" s="191">
        <v>455734.99999999994</v>
      </c>
      <c r="I146" s="172">
        <f t="shared" si="6"/>
        <v>501308.5</v>
      </c>
      <c r="J146" s="111"/>
      <c r="L146" s="41">
        <v>455734.99999999994</v>
      </c>
      <c r="M146" s="118">
        <f t="shared" si="7"/>
        <v>0</v>
      </c>
      <c r="N146" s="481">
        <f t="shared" si="8"/>
        <v>0</v>
      </c>
    </row>
    <row r="147" spans="1:14">
      <c r="A147" s="111">
        <v>143</v>
      </c>
      <c r="B147" s="111" t="s">
        <v>745</v>
      </c>
      <c r="C147" s="111" t="s">
        <v>970</v>
      </c>
      <c r="D147" s="111" t="s">
        <v>1530</v>
      </c>
      <c r="E147" s="111" t="s">
        <v>1004</v>
      </c>
      <c r="F147" s="111" t="s">
        <v>992</v>
      </c>
      <c r="G147" s="111" t="s">
        <v>993</v>
      </c>
      <c r="H147" s="191">
        <v>466899.99999999994</v>
      </c>
      <c r="I147" s="172">
        <f t="shared" si="6"/>
        <v>513590</v>
      </c>
      <c r="J147" s="111"/>
      <c r="L147" s="41">
        <v>466899.99999999994</v>
      </c>
      <c r="M147" s="118">
        <f t="shared" si="7"/>
        <v>0</v>
      </c>
      <c r="N147" s="481">
        <f t="shared" si="8"/>
        <v>0</v>
      </c>
    </row>
    <row r="148" spans="1:14">
      <c r="A148" s="111">
        <v>144</v>
      </c>
      <c r="B148" s="111" t="s">
        <v>745</v>
      </c>
      <c r="C148" s="111" t="s">
        <v>970</v>
      </c>
      <c r="D148" s="111" t="s">
        <v>1530</v>
      </c>
      <c r="E148" s="111" t="s">
        <v>1005</v>
      </c>
      <c r="F148" s="111" t="s">
        <v>992</v>
      </c>
      <c r="G148" s="111" t="s">
        <v>993</v>
      </c>
      <c r="H148" s="191">
        <v>482124.99999999994</v>
      </c>
      <c r="I148" s="172">
        <f t="shared" si="6"/>
        <v>530337.5</v>
      </c>
      <c r="J148" s="111"/>
      <c r="L148" s="41">
        <v>482124.99999999994</v>
      </c>
      <c r="M148" s="118">
        <f t="shared" si="7"/>
        <v>0</v>
      </c>
      <c r="N148" s="481">
        <f t="shared" si="8"/>
        <v>0</v>
      </c>
    </row>
    <row r="149" spans="1:14">
      <c r="A149" s="111">
        <v>145</v>
      </c>
      <c r="B149" s="111" t="s">
        <v>745</v>
      </c>
      <c r="C149" s="111" t="s">
        <v>970</v>
      </c>
      <c r="D149" s="111" t="s">
        <v>1530</v>
      </c>
      <c r="E149" s="111" t="s">
        <v>1006</v>
      </c>
      <c r="F149" s="111" t="s">
        <v>997</v>
      </c>
      <c r="G149" s="111" t="s">
        <v>998</v>
      </c>
      <c r="H149" s="191">
        <v>455734.99999999994</v>
      </c>
      <c r="I149" s="172">
        <f t="shared" si="6"/>
        <v>501308.5</v>
      </c>
      <c r="J149" s="111"/>
      <c r="L149" s="41">
        <v>455734.99999999994</v>
      </c>
      <c r="M149" s="118">
        <f t="shared" si="7"/>
        <v>0</v>
      </c>
      <c r="N149" s="481">
        <f t="shared" si="8"/>
        <v>0</v>
      </c>
    </row>
    <row r="150" spans="1:14">
      <c r="A150" s="111">
        <v>146</v>
      </c>
      <c r="B150" s="111" t="s">
        <v>745</v>
      </c>
      <c r="C150" s="111" t="s">
        <v>970</v>
      </c>
      <c r="D150" s="111" t="s">
        <v>1530</v>
      </c>
      <c r="E150" s="111" t="s">
        <v>1007</v>
      </c>
      <c r="F150" s="111" t="s">
        <v>997</v>
      </c>
      <c r="G150" s="111" t="s">
        <v>998</v>
      </c>
      <c r="H150" s="191">
        <v>466899.99999999994</v>
      </c>
      <c r="I150" s="172">
        <f t="shared" si="6"/>
        <v>513590</v>
      </c>
      <c r="J150" s="111"/>
      <c r="L150" s="41">
        <v>466899.99999999994</v>
      </c>
      <c r="M150" s="118">
        <f t="shared" si="7"/>
        <v>0</v>
      </c>
      <c r="N150" s="481">
        <f t="shared" si="8"/>
        <v>0</v>
      </c>
    </row>
    <row r="151" spans="1:14">
      <c r="A151" s="111">
        <v>147</v>
      </c>
      <c r="B151" s="111" t="s">
        <v>745</v>
      </c>
      <c r="C151" s="111" t="s">
        <v>970</v>
      </c>
      <c r="D151" s="111" t="s">
        <v>1530</v>
      </c>
      <c r="E151" s="111" t="s">
        <v>1008</v>
      </c>
      <c r="F151" s="111" t="s">
        <v>997</v>
      </c>
      <c r="G151" s="111" t="s">
        <v>998</v>
      </c>
      <c r="H151" s="191">
        <v>482124.99999999994</v>
      </c>
      <c r="I151" s="172">
        <f t="shared" si="6"/>
        <v>530337.5</v>
      </c>
      <c r="J151" s="111"/>
      <c r="L151" s="41">
        <v>482124.99999999994</v>
      </c>
      <c r="M151" s="118">
        <f t="shared" si="7"/>
        <v>0</v>
      </c>
      <c r="N151" s="481">
        <f t="shared" si="8"/>
        <v>0</v>
      </c>
    </row>
    <row r="152" spans="1:14">
      <c r="A152" s="111">
        <v>148</v>
      </c>
      <c r="B152" s="111" t="s">
        <v>745</v>
      </c>
      <c r="C152" s="111" t="s">
        <v>970</v>
      </c>
      <c r="D152" s="111" t="s">
        <v>747</v>
      </c>
      <c r="E152" s="111" t="s">
        <v>1009</v>
      </c>
      <c r="F152" s="111" t="s">
        <v>876</v>
      </c>
      <c r="G152" s="111" t="s">
        <v>1010</v>
      </c>
      <c r="H152" s="191">
        <v>416759</v>
      </c>
      <c r="I152" s="172">
        <f t="shared" si="6"/>
        <v>416759</v>
      </c>
      <c r="J152" s="111"/>
      <c r="L152" s="41">
        <f>VLOOKUP(E152,[3]단가!B$4:M$724,12,0)</f>
        <v>416759</v>
      </c>
      <c r="M152" s="118">
        <f t="shared" si="7"/>
        <v>0</v>
      </c>
      <c r="N152" s="481">
        <f t="shared" si="8"/>
        <v>0</v>
      </c>
    </row>
    <row r="153" spans="1:14">
      <c r="A153" s="111">
        <v>149</v>
      </c>
      <c r="B153" s="111" t="s">
        <v>1011</v>
      </c>
      <c r="C153" s="111" t="s">
        <v>970</v>
      </c>
      <c r="D153" s="111" t="s">
        <v>1530</v>
      </c>
      <c r="E153" s="111" t="s">
        <v>1012</v>
      </c>
      <c r="F153" s="111" t="s">
        <v>1013</v>
      </c>
      <c r="G153" s="111" t="s">
        <v>1014</v>
      </c>
      <c r="H153" s="172">
        <v>268975</v>
      </c>
      <c r="I153" s="172">
        <f t="shared" si="6"/>
        <v>295872.5</v>
      </c>
      <c r="J153" s="111"/>
      <c r="L153" s="41">
        <v>268975</v>
      </c>
      <c r="M153" s="118">
        <f t="shared" si="7"/>
        <v>0</v>
      </c>
      <c r="N153" s="481">
        <f t="shared" si="8"/>
        <v>0</v>
      </c>
    </row>
    <row r="154" spans="1:14">
      <c r="A154" s="111">
        <v>150</v>
      </c>
      <c r="B154" s="111" t="s">
        <v>1011</v>
      </c>
      <c r="C154" s="111" t="s">
        <v>970</v>
      </c>
      <c r="D154" s="111" t="s">
        <v>1530</v>
      </c>
      <c r="E154" s="111" t="s">
        <v>1015</v>
      </c>
      <c r="F154" s="111" t="s">
        <v>1016</v>
      </c>
      <c r="G154" s="111" t="s">
        <v>1014</v>
      </c>
      <c r="H154" s="172">
        <v>295872.5</v>
      </c>
      <c r="I154" s="172">
        <f t="shared" si="6"/>
        <v>325459.75</v>
      </c>
      <c r="J154" s="111"/>
      <c r="L154" s="41">
        <v>295872.5</v>
      </c>
      <c r="M154" s="118">
        <f t="shared" si="7"/>
        <v>0</v>
      </c>
      <c r="N154" s="481">
        <f t="shared" si="8"/>
        <v>0</v>
      </c>
    </row>
    <row r="155" spans="1:14">
      <c r="A155" s="111">
        <v>151</v>
      </c>
      <c r="B155" s="111" t="s">
        <v>1011</v>
      </c>
      <c r="C155" s="111" t="s">
        <v>970</v>
      </c>
      <c r="D155" s="111" t="s">
        <v>1530</v>
      </c>
      <c r="E155" s="111" t="s">
        <v>1017</v>
      </c>
      <c r="F155" s="111" t="s">
        <v>1018</v>
      </c>
      <c r="G155" s="111" t="s">
        <v>1014</v>
      </c>
      <c r="H155" s="172">
        <v>325459.74999999994</v>
      </c>
      <c r="I155" s="172">
        <f t="shared" si="6"/>
        <v>358005.72499999998</v>
      </c>
      <c r="J155" s="111"/>
      <c r="L155" s="41">
        <v>325459.74999999994</v>
      </c>
      <c r="M155" s="118">
        <f t="shared" si="7"/>
        <v>0</v>
      </c>
      <c r="N155" s="481">
        <f t="shared" si="8"/>
        <v>0</v>
      </c>
    </row>
    <row r="156" spans="1:14">
      <c r="A156" s="111">
        <v>152</v>
      </c>
      <c r="B156" s="111" t="s">
        <v>1011</v>
      </c>
      <c r="C156" s="111" t="s">
        <v>970</v>
      </c>
      <c r="D156" s="111" t="s">
        <v>1530</v>
      </c>
      <c r="E156" s="111" t="s">
        <v>1019</v>
      </c>
      <c r="F156" s="111" t="s">
        <v>1020</v>
      </c>
      <c r="G156" s="111" t="s">
        <v>1021</v>
      </c>
      <c r="H156" s="172">
        <v>268975</v>
      </c>
      <c r="I156" s="172">
        <f t="shared" si="6"/>
        <v>295872.5</v>
      </c>
      <c r="J156" s="111"/>
      <c r="L156" s="41">
        <v>268975</v>
      </c>
      <c r="M156" s="118">
        <f t="shared" si="7"/>
        <v>0</v>
      </c>
      <c r="N156" s="481">
        <f t="shared" si="8"/>
        <v>0</v>
      </c>
    </row>
    <row r="157" spans="1:14">
      <c r="A157" s="111">
        <v>153</v>
      </c>
      <c r="B157" s="111" t="s">
        <v>1011</v>
      </c>
      <c r="C157" s="111" t="s">
        <v>970</v>
      </c>
      <c r="D157" s="111" t="s">
        <v>1530</v>
      </c>
      <c r="E157" s="111" t="s">
        <v>1022</v>
      </c>
      <c r="F157" s="111" t="s">
        <v>1013</v>
      </c>
      <c r="G157" s="111" t="s">
        <v>1021</v>
      </c>
      <c r="H157" s="172">
        <v>295872.5</v>
      </c>
      <c r="I157" s="172">
        <f t="shared" si="6"/>
        <v>325459.75</v>
      </c>
      <c r="J157" s="111"/>
      <c r="L157" s="41">
        <v>295872.5</v>
      </c>
      <c r="M157" s="118">
        <f t="shared" si="7"/>
        <v>0</v>
      </c>
      <c r="N157" s="481">
        <f t="shared" si="8"/>
        <v>0</v>
      </c>
    </row>
    <row r="158" spans="1:14">
      <c r="A158" s="111">
        <v>154</v>
      </c>
      <c r="B158" s="111" t="s">
        <v>1011</v>
      </c>
      <c r="C158" s="111" t="s">
        <v>970</v>
      </c>
      <c r="D158" s="111" t="s">
        <v>1530</v>
      </c>
      <c r="E158" s="111" t="s">
        <v>1023</v>
      </c>
      <c r="F158" s="111" t="s">
        <v>1016</v>
      </c>
      <c r="G158" s="111" t="s">
        <v>1021</v>
      </c>
      <c r="H158" s="172">
        <v>325459.74999999994</v>
      </c>
      <c r="I158" s="172">
        <f t="shared" si="6"/>
        <v>358005.72499999998</v>
      </c>
      <c r="J158" s="111"/>
      <c r="L158" s="41">
        <v>325459.74999999994</v>
      </c>
      <c r="M158" s="118">
        <f t="shared" si="7"/>
        <v>0</v>
      </c>
      <c r="N158" s="481">
        <f t="shared" si="8"/>
        <v>0</v>
      </c>
    </row>
    <row r="159" spans="1:14">
      <c r="A159" s="111">
        <v>155</v>
      </c>
      <c r="B159" s="111" t="s">
        <v>1011</v>
      </c>
      <c r="C159" s="111" t="s">
        <v>970</v>
      </c>
      <c r="D159" s="111" t="s">
        <v>1530</v>
      </c>
      <c r="E159" s="111" t="s">
        <v>1024</v>
      </c>
      <c r="F159" s="111" t="s">
        <v>1018</v>
      </c>
      <c r="G159" s="111" t="s">
        <v>1014</v>
      </c>
      <c r="H159" s="172">
        <v>332919.99999999994</v>
      </c>
      <c r="I159" s="172">
        <f t="shared" si="6"/>
        <v>366211.99999999994</v>
      </c>
      <c r="J159" s="111"/>
      <c r="L159" s="41">
        <v>332919.99999999994</v>
      </c>
      <c r="M159" s="118">
        <f t="shared" si="7"/>
        <v>0</v>
      </c>
      <c r="N159" s="481">
        <f t="shared" si="8"/>
        <v>0</v>
      </c>
    </row>
    <row r="160" spans="1:14">
      <c r="A160" s="111">
        <v>156</v>
      </c>
      <c r="B160" s="111" t="s">
        <v>1011</v>
      </c>
      <c r="C160" s="111" t="s">
        <v>970</v>
      </c>
      <c r="D160" s="111" t="s">
        <v>1530</v>
      </c>
      <c r="E160" s="111" t="s">
        <v>1025</v>
      </c>
      <c r="F160" s="111" t="s">
        <v>1020</v>
      </c>
      <c r="G160" s="111" t="s">
        <v>1014</v>
      </c>
      <c r="H160" s="172">
        <v>355046.99999999994</v>
      </c>
      <c r="I160" s="172">
        <f t="shared" si="6"/>
        <v>390551.69999999995</v>
      </c>
      <c r="J160" s="111"/>
      <c r="L160" s="41">
        <v>355046.99999999994</v>
      </c>
      <c r="M160" s="118">
        <f t="shared" si="7"/>
        <v>0</v>
      </c>
      <c r="N160" s="481">
        <f t="shared" si="8"/>
        <v>0</v>
      </c>
    </row>
    <row r="161" spans="1:14">
      <c r="A161" s="111">
        <v>157</v>
      </c>
      <c r="B161" s="111" t="s">
        <v>1011</v>
      </c>
      <c r="C161" s="111" t="s">
        <v>970</v>
      </c>
      <c r="D161" s="111" t="s">
        <v>1530</v>
      </c>
      <c r="E161" s="111" t="s">
        <v>1026</v>
      </c>
      <c r="F161" s="111" t="s">
        <v>1013</v>
      </c>
      <c r="G161" s="111" t="s">
        <v>1014</v>
      </c>
      <c r="H161" s="172">
        <v>390551.69999999995</v>
      </c>
      <c r="I161" s="172">
        <f t="shared" si="6"/>
        <v>429606.87</v>
      </c>
      <c r="J161" s="111"/>
      <c r="L161" s="41">
        <v>390551.69999999995</v>
      </c>
      <c r="M161" s="118">
        <f t="shared" si="7"/>
        <v>0</v>
      </c>
      <c r="N161" s="481">
        <f t="shared" si="8"/>
        <v>0</v>
      </c>
    </row>
    <row r="162" spans="1:14">
      <c r="A162" s="111">
        <v>158</v>
      </c>
      <c r="B162" s="111" t="s">
        <v>1011</v>
      </c>
      <c r="C162" s="111" t="s">
        <v>970</v>
      </c>
      <c r="D162" s="111" t="s">
        <v>1530</v>
      </c>
      <c r="E162" s="111" t="s">
        <v>1027</v>
      </c>
      <c r="F162" s="111" t="s">
        <v>1016</v>
      </c>
      <c r="G162" s="111" t="s">
        <v>1021</v>
      </c>
      <c r="H162" s="172">
        <v>332919.99999999994</v>
      </c>
      <c r="I162" s="172">
        <f t="shared" si="6"/>
        <v>366211.99999999994</v>
      </c>
      <c r="J162" s="111"/>
      <c r="L162" s="41">
        <v>332919.99999999994</v>
      </c>
      <c r="M162" s="118">
        <f t="shared" si="7"/>
        <v>0</v>
      </c>
      <c r="N162" s="481">
        <f t="shared" si="8"/>
        <v>0</v>
      </c>
    </row>
    <row r="163" spans="1:14">
      <c r="A163" s="111">
        <v>159</v>
      </c>
      <c r="B163" s="111" t="s">
        <v>1011</v>
      </c>
      <c r="C163" s="111" t="s">
        <v>970</v>
      </c>
      <c r="D163" s="111" t="s">
        <v>1530</v>
      </c>
      <c r="E163" s="111" t="s">
        <v>1028</v>
      </c>
      <c r="F163" s="111" t="s">
        <v>1018</v>
      </c>
      <c r="G163" s="111" t="s">
        <v>1021</v>
      </c>
      <c r="H163" s="172">
        <v>355046.99999999994</v>
      </c>
      <c r="I163" s="172">
        <f t="shared" si="6"/>
        <v>390551.69999999995</v>
      </c>
      <c r="J163" s="111"/>
      <c r="L163" s="41">
        <v>355046.99999999994</v>
      </c>
      <c r="M163" s="118">
        <f t="shared" si="7"/>
        <v>0</v>
      </c>
      <c r="N163" s="481">
        <f t="shared" si="8"/>
        <v>0</v>
      </c>
    </row>
    <row r="164" spans="1:14">
      <c r="A164" s="111">
        <v>160</v>
      </c>
      <c r="B164" s="111" t="s">
        <v>1011</v>
      </c>
      <c r="C164" s="111" t="s">
        <v>970</v>
      </c>
      <c r="D164" s="111" t="s">
        <v>1530</v>
      </c>
      <c r="E164" s="111" t="s">
        <v>1029</v>
      </c>
      <c r="F164" s="111" t="s">
        <v>1020</v>
      </c>
      <c r="G164" s="111" t="s">
        <v>1021</v>
      </c>
      <c r="H164" s="172">
        <v>390551.69999999995</v>
      </c>
      <c r="I164" s="172">
        <f t="shared" si="6"/>
        <v>429606.87</v>
      </c>
      <c r="J164" s="111"/>
      <c r="L164" s="41">
        <v>390551.69999999995</v>
      </c>
      <c r="M164" s="118">
        <f t="shared" si="7"/>
        <v>0</v>
      </c>
      <c r="N164" s="481">
        <f t="shared" si="8"/>
        <v>0</v>
      </c>
    </row>
    <row r="165" spans="1:14">
      <c r="A165" s="111">
        <v>161</v>
      </c>
      <c r="B165" s="111" t="s">
        <v>1011</v>
      </c>
      <c r="C165" s="111" t="s">
        <v>970</v>
      </c>
      <c r="D165" s="111" t="s">
        <v>1530</v>
      </c>
      <c r="E165" s="111" t="s">
        <v>1030</v>
      </c>
      <c r="F165" s="111" t="s">
        <v>1013</v>
      </c>
      <c r="G165" s="111" t="s">
        <v>1031</v>
      </c>
      <c r="H165" s="119">
        <v>268975</v>
      </c>
      <c r="I165" s="172">
        <f t="shared" si="6"/>
        <v>295872.5</v>
      </c>
      <c r="J165" s="109"/>
      <c r="L165" s="41">
        <v>268975</v>
      </c>
      <c r="M165" s="118">
        <f t="shared" si="7"/>
        <v>0</v>
      </c>
      <c r="N165" s="481">
        <f t="shared" si="8"/>
        <v>0</v>
      </c>
    </row>
    <row r="166" spans="1:14">
      <c r="A166" s="111">
        <v>162</v>
      </c>
      <c r="B166" s="111" t="s">
        <v>1011</v>
      </c>
      <c r="C166" s="111" t="s">
        <v>970</v>
      </c>
      <c r="D166" s="111" t="s">
        <v>1530</v>
      </c>
      <c r="E166" s="111" t="s">
        <v>1032</v>
      </c>
      <c r="F166" s="111" t="s">
        <v>1016</v>
      </c>
      <c r="G166" s="111" t="s">
        <v>1031</v>
      </c>
      <c r="H166" s="119">
        <v>295872.5</v>
      </c>
      <c r="I166" s="172">
        <f t="shared" si="6"/>
        <v>325459.75</v>
      </c>
      <c r="J166" s="109"/>
      <c r="L166" s="41">
        <v>295872.5</v>
      </c>
      <c r="M166" s="118">
        <f t="shared" si="7"/>
        <v>0</v>
      </c>
      <c r="N166" s="481">
        <f t="shared" si="8"/>
        <v>0</v>
      </c>
    </row>
    <row r="167" spans="1:14">
      <c r="A167" s="111">
        <v>163</v>
      </c>
      <c r="B167" s="111" t="s">
        <v>1011</v>
      </c>
      <c r="C167" s="111" t="s">
        <v>970</v>
      </c>
      <c r="D167" s="111" t="s">
        <v>1530</v>
      </c>
      <c r="E167" s="111" t="s">
        <v>1033</v>
      </c>
      <c r="F167" s="111" t="s">
        <v>1018</v>
      </c>
      <c r="G167" s="111" t="s">
        <v>1031</v>
      </c>
      <c r="H167" s="119">
        <v>325459.74999999994</v>
      </c>
      <c r="I167" s="172">
        <f t="shared" si="6"/>
        <v>358005.72499999998</v>
      </c>
      <c r="J167" s="109"/>
      <c r="L167" s="41">
        <v>325459.74999999994</v>
      </c>
      <c r="M167" s="118">
        <f t="shared" si="7"/>
        <v>0</v>
      </c>
      <c r="N167" s="481">
        <f t="shared" si="8"/>
        <v>0</v>
      </c>
    </row>
    <row r="168" spans="1:14">
      <c r="A168" s="111">
        <v>164</v>
      </c>
      <c r="B168" s="111" t="s">
        <v>1011</v>
      </c>
      <c r="C168" s="111" t="s">
        <v>970</v>
      </c>
      <c r="D168" s="111" t="s">
        <v>1530</v>
      </c>
      <c r="E168" s="111" t="s">
        <v>1034</v>
      </c>
      <c r="F168" s="111" t="s">
        <v>1020</v>
      </c>
      <c r="G168" s="111" t="s">
        <v>1035</v>
      </c>
      <c r="H168" s="119">
        <v>268975</v>
      </c>
      <c r="I168" s="172">
        <f t="shared" si="6"/>
        <v>295872.5</v>
      </c>
      <c r="J168" s="109"/>
      <c r="L168" s="41">
        <v>268975</v>
      </c>
      <c r="M168" s="118">
        <f t="shared" si="7"/>
        <v>0</v>
      </c>
      <c r="N168" s="481">
        <f t="shared" si="8"/>
        <v>0</v>
      </c>
    </row>
    <row r="169" spans="1:14">
      <c r="A169" s="111">
        <v>165</v>
      </c>
      <c r="B169" s="111" t="s">
        <v>1011</v>
      </c>
      <c r="C169" s="111" t="s">
        <v>970</v>
      </c>
      <c r="D169" s="111" t="s">
        <v>1530</v>
      </c>
      <c r="E169" s="111" t="s">
        <v>1036</v>
      </c>
      <c r="F169" s="111" t="s">
        <v>1013</v>
      </c>
      <c r="G169" s="111" t="s">
        <v>1035</v>
      </c>
      <c r="H169" s="119">
        <v>295872.5</v>
      </c>
      <c r="I169" s="172">
        <f t="shared" si="6"/>
        <v>325459.75</v>
      </c>
      <c r="J169" s="109"/>
      <c r="L169" s="41">
        <v>295872.5</v>
      </c>
      <c r="M169" s="118">
        <f t="shared" si="7"/>
        <v>0</v>
      </c>
      <c r="N169" s="481">
        <f t="shared" si="8"/>
        <v>0</v>
      </c>
    </row>
    <row r="170" spans="1:14">
      <c r="A170" s="111">
        <v>166</v>
      </c>
      <c r="B170" s="111" t="s">
        <v>1011</v>
      </c>
      <c r="C170" s="111" t="s">
        <v>970</v>
      </c>
      <c r="D170" s="111" t="s">
        <v>1530</v>
      </c>
      <c r="E170" s="111" t="s">
        <v>1037</v>
      </c>
      <c r="F170" s="111" t="s">
        <v>1016</v>
      </c>
      <c r="G170" s="111" t="s">
        <v>1035</v>
      </c>
      <c r="H170" s="119">
        <v>325459.74999999994</v>
      </c>
      <c r="I170" s="172">
        <f t="shared" si="6"/>
        <v>358005.72499999998</v>
      </c>
      <c r="J170" s="109"/>
      <c r="L170" s="41">
        <v>325459.74999999994</v>
      </c>
      <c r="M170" s="118">
        <f t="shared" si="7"/>
        <v>0</v>
      </c>
      <c r="N170" s="481">
        <f t="shared" si="8"/>
        <v>0</v>
      </c>
    </row>
    <row r="171" spans="1:14">
      <c r="A171" s="111">
        <v>167</v>
      </c>
      <c r="B171" s="111" t="s">
        <v>1011</v>
      </c>
      <c r="C171" s="111" t="s">
        <v>970</v>
      </c>
      <c r="D171" s="111" t="s">
        <v>1530</v>
      </c>
      <c r="E171" s="111" t="s">
        <v>1038</v>
      </c>
      <c r="F171" s="111" t="s">
        <v>1018</v>
      </c>
      <c r="G171" s="111" t="s">
        <v>1031</v>
      </c>
      <c r="H171" s="119">
        <v>332919.99999999994</v>
      </c>
      <c r="I171" s="172">
        <f t="shared" si="6"/>
        <v>366211.99999999994</v>
      </c>
      <c r="J171" s="109"/>
      <c r="L171" s="41">
        <v>332919.99999999994</v>
      </c>
      <c r="M171" s="118">
        <f t="shared" si="7"/>
        <v>0</v>
      </c>
      <c r="N171" s="481">
        <f t="shared" si="8"/>
        <v>0</v>
      </c>
    </row>
    <row r="172" spans="1:14">
      <c r="A172" s="111">
        <v>168</v>
      </c>
      <c r="B172" s="111" t="s">
        <v>1011</v>
      </c>
      <c r="C172" s="111" t="s">
        <v>970</v>
      </c>
      <c r="D172" s="111" t="s">
        <v>1530</v>
      </c>
      <c r="E172" s="111" t="s">
        <v>1039</v>
      </c>
      <c r="F172" s="111" t="s">
        <v>1020</v>
      </c>
      <c r="G172" s="111" t="s">
        <v>1031</v>
      </c>
      <c r="H172" s="119">
        <v>355046.99999999994</v>
      </c>
      <c r="I172" s="172">
        <f t="shared" si="6"/>
        <v>390551.69999999995</v>
      </c>
      <c r="J172" s="109"/>
      <c r="L172" s="41">
        <v>355046.99999999994</v>
      </c>
      <c r="M172" s="118">
        <f t="shared" si="7"/>
        <v>0</v>
      </c>
      <c r="N172" s="481">
        <f t="shared" si="8"/>
        <v>0</v>
      </c>
    </row>
    <row r="173" spans="1:14">
      <c r="A173" s="111">
        <v>169</v>
      </c>
      <c r="B173" s="111" t="s">
        <v>1011</v>
      </c>
      <c r="C173" s="111" t="s">
        <v>970</v>
      </c>
      <c r="D173" s="111" t="s">
        <v>1530</v>
      </c>
      <c r="E173" s="111" t="s">
        <v>1040</v>
      </c>
      <c r="F173" s="111" t="s">
        <v>1013</v>
      </c>
      <c r="G173" s="111" t="s">
        <v>1031</v>
      </c>
      <c r="H173" s="119">
        <v>390551.69999999995</v>
      </c>
      <c r="I173" s="172">
        <f t="shared" si="6"/>
        <v>429606.87</v>
      </c>
      <c r="J173" s="109"/>
      <c r="L173" s="41">
        <v>390551.69999999995</v>
      </c>
      <c r="M173" s="118">
        <f t="shared" si="7"/>
        <v>0</v>
      </c>
      <c r="N173" s="481">
        <f t="shared" si="8"/>
        <v>0</v>
      </c>
    </row>
    <row r="174" spans="1:14">
      <c r="A174" s="111">
        <v>170</v>
      </c>
      <c r="B174" s="111" t="s">
        <v>1011</v>
      </c>
      <c r="C174" s="111" t="s">
        <v>970</v>
      </c>
      <c r="D174" s="111" t="s">
        <v>1530</v>
      </c>
      <c r="E174" s="111" t="s">
        <v>1041</v>
      </c>
      <c r="F174" s="111" t="s">
        <v>1016</v>
      </c>
      <c r="G174" s="111" t="s">
        <v>1035</v>
      </c>
      <c r="H174" s="119">
        <v>332919.99999999994</v>
      </c>
      <c r="I174" s="172">
        <f t="shared" si="6"/>
        <v>366211.99999999994</v>
      </c>
      <c r="J174" s="109"/>
      <c r="L174" s="41">
        <v>332919.99999999994</v>
      </c>
      <c r="M174" s="118">
        <f t="shared" si="7"/>
        <v>0</v>
      </c>
      <c r="N174" s="481">
        <f t="shared" si="8"/>
        <v>0</v>
      </c>
    </row>
    <row r="175" spans="1:14">
      <c r="A175" s="111">
        <v>171</v>
      </c>
      <c r="B175" s="111" t="s">
        <v>1011</v>
      </c>
      <c r="C175" s="111" t="s">
        <v>970</v>
      </c>
      <c r="D175" s="111" t="s">
        <v>1530</v>
      </c>
      <c r="E175" s="111" t="s">
        <v>1042</v>
      </c>
      <c r="F175" s="111" t="s">
        <v>1018</v>
      </c>
      <c r="G175" s="111" t="s">
        <v>1035</v>
      </c>
      <c r="H175" s="119">
        <v>355046.99999999994</v>
      </c>
      <c r="I175" s="172">
        <f t="shared" si="6"/>
        <v>390551.69999999995</v>
      </c>
      <c r="J175" s="109"/>
      <c r="L175" s="41">
        <v>355046.99999999994</v>
      </c>
      <c r="M175" s="118">
        <f t="shared" si="7"/>
        <v>0</v>
      </c>
      <c r="N175" s="481">
        <f t="shared" si="8"/>
        <v>0</v>
      </c>
    </row>
    <row r="176" spans="1:14">
      <c r="A176" s="111">
        <v>172</v>
      </c>
      <c r="B176" s="111" t="s">
        <v>1011</v>
      </c>
      <c r="C176" s="111" t="s">
        <v>970</v>
      </c>
      <c r="D176" s="111" t="s">
        <v>1530</v>
      </c>
      <c r="E176" s="111" t="s">
        <v>1043</v>
      </c>
      <c r="F176" s="111" t="s">
        <v>1020</v>
      </c>
      <c r="G176" s="111" t="s">
        <v>1035</v>
      </c>
      <c r="H176" s="119">
        <v>390551.69999999995</v>
      </c>
      <c r="I176" s="172">
        <f t="shared" si="6"/>
        <v>429606.87</v>
      </c>
      <c r="J176" s="109"/>
      <c r="L176" s="41">
        <v>390551.69999999995</v>
      </c>
      <c r="M176" s="118">
        <f t="shared" si="7"/>
        <v>0</v>
      </c>
      <c r="N176" s="481">
        <f t="shared" si="8"/>
        <v>0</v>
      </c>
    </row>
    <row r="177" spans="1:14">
      <c r="A177" s="111">
        <v>173</v>
      </c>
      <c r="B177" s="111" t="s">
        <v>745</v>
      </c>
      <c r="C177" s="111" t="s">
        <v>1044</v>
      </c>
      <c r="D177" s="111" t="s">
        <v>1530</v>
      </c>
      <c r="E177" s="111" t="s">
        <v>1045</v>
      </c>
      <c r="F177" s="111" t="s">
        <v>1046</v>
      </c>
      <c r="G177" s="111"/>
      <c r="H177" s="172">
        <v>135464</v>
      </c>
      <c r="I177" s="172">
        <f t="shared" si="6"/>
        <v>149010.40000000002</v>
      </c>
      <c r="J177" s="111"/>
      <c r="L177" s="41">
        <f>VLOOKUP(E177,[3]단가!B$4:M$724,12,0)</f>
        <v>135464</v>
      </c>
      <c r="M177" s="118">
        <f t="shared" si="7"/>
        <v>0</v>
      </c>
      <c r="N177" s="481">
        <f t="shared" si="8"/>
        <v>0</v>
      </c>
    </row>
    <row r="178" spans="1:14">
      <c r="A178" s="111">
        <v>174</v>
      </c>
      <c r="B178" s="111" t="s">
        <v>1011</v>
      </c>
      <c r="C178" s="111" t="s">
        <v>1044</v>
      </c>
      <c r="D178" s="111" t="s">
        <v>1530</v>
      </c>
      <c r="E178" s="111" t="s">
        <v>1047</v>
      </c>
      <c r="F178" s="111" t="s">
        <v>1048</v>
      </c>
      <c r="G178" s="111" t="s">
        <v>1049</v>
      </c>
      <c r="H178" s="172">
        <v>135464</v>
      </c>
      <c r="I178" s="172">
        <f t="shared" si="6"/>
        <v>149010.40000000002</v>
      </c>
      <c r="J178" s="111"/>
      <c r="L178" s="41">
        <f>VLOOKUP(E178,[3]단가!B$4:M$724,12,0)</f>
        <v>135464</v>
      </c>
      <c r="M178" s="118">
        <f t="shared" si="7"/>
        <v>0</v>
      </c>
      <c r="N178" s="481">
        <f t="shared" si="8"/>
        <v>0</v>
      </c>
    </row>
    <row r="179" spans="1:14">
      <c r="A179" s="111">
        <v>175</v>
      </c>
      <c r="B179" s="111" t="s">
        <v>1011</v>
      </c>
      <c r="C179" s="111" t="s">
        <v>1044</v>
      </c>
      <c r="D179" s="111" t="s">
        <v>1530</v>
      </c>
      <c r="E179" s="111" t="s">
        <v>1050</v>
      </c>
      <c r="F179" s="111" t="s">
        <v>1051</v>
      </c>
      <c r="G179" s="111" t="s">
        <v>1052</v>
      </c>
      <c r="H179" s="172">
        <v>135464</v>
      </c>
      <c r="I179" s="172">
        <f t="shared" si="6"/>
        <v>149010.40000000002</v>
      </c>
      <c r="J179" s="111"/>
      <c r="L179" s="41">
        <f>VLOOKUP(E179,[3]단가!B$4:M$724,12,0)</f>
        <v>135464</v>
      </c>
      <c r="M179" s="118">
        <f t="shared" si="7"/>
        <v>0</v>
      </c>
      <c r="N179" s="481">
        <f t="shared" si="8"/>
        <v>0</v>
      </c>
    </row>
    <row r="180" spans="1:14">
      <c r="A180" s="111">
        <v>176</v>
      </c>
      <c r="B180" s="111" t="s">
        <v>1011</v>
      </c>
      <c r="C180" s="111" t="s">
        <v>1044</v>
      </c>
      <c r="D180" s="111" t="s">
        <v>1530</v>
      </c>
      <c r="E180" s="111" t="s">
        <v>1053</v>
      </c>
      <c r="F180" s="111" t="s">
        <v>1054</v>
      </c>
      <c r="G180" s="111" t="s">
        <v>1055</v>
      </c>
      <c r="H180" s="172">
        <v>135464</v>
      </c>
      <c r="I180" s="172">
        <f t="shared" si="6"/>
        <v>149010.40000000002</v>
      </c>
      <c r="J180" s="111"/>
      <c r="L180" s="41">
        <f>VLOOKUP(E180,[3]단가!B$4:M$724,12,0)</f>
        <v>135464</v>
      </c>
      <c r="M180" s="118">
        <f t="shared" si="7"/>
        <v>0</v>
      </c>
      <c r="N180" s="481">
        <f t="shared" si="8"/>
        <v>0</v>
      </c>
    </row>
    <row r="181" spans="1:14">
      <c r="A181" s="111">
        <v>177</v>
      </c>
      <c r="B181" s="111" t="s">
        <v>1011</v>
      </c>
      <c r="C181" s="111" t="s">
        <v>1044</v>
      </c>
      <c r="D181" s="111" t="s">
        <v>1530</v>
      </c>
      <c r="E181" s="111" t="s">
        <v>1056</v>
      </c>
      <c r="F181" s="111" t="s">
        <v>1057</v>
      </c>
      <c r="G181" s="111" t="s">
        <v>1058</v>
      </c>
      <c r="H181" s="172">
        <v>135464</v>
      </c>
      <c r="I181" s="172">
        <f t="shared" si="6"/>
        <v>149010.40000000002</v>
      </c>
      <c r="J181" s="111"/>
      <c r="L181" s="41">
        <f>VLOOKUP(E181,[3]단가!B$4:M$724,12,0)</f>
        <v>135464</v>
      </c>
      <c r="M181" s="118">
        <f t="shared" si="7"/>
        <v>0</v>
      </c>
      <c r="N181" s="481">
        <f t="shared" si="8"/>
        <v>0</v>
      </c>
    </row>
    <row r="182" spans="1:14">
      <c r="A182" s="111">
        <v>178</v>
      </c>
      <c r="B182" s="111" t="s">
        <v>1011</v>
      </c>
      <c r="C182" s="111" t="s">
        <v>1044</v>
      </c>
      <c r="D182" s="111" t="s">
        <v>1530</v>
      </c>
      <c r="E182" s="111" t="s">
        <v>1059</v>
      </c>
      <c r="F182" s="111" t="s">
        <v>1048</v>
      </c>
      <c r="G182" s="111" t="s">
        <v>1060</v>
      </c>
      <c r="H182" s="172">
        <v>182445</v>
      </c>
      <c r="I182" s="172">
        <f t="shared" si="6"/>
        <v>200689.50000000003</v>
      </c>
      <c r="J182" s="111"/>
      <c r="L182" s="41">
        <v>182445</v>
      </c>
      <c r="M182" s="118">
        <f t="shared" si="7"/>
        <v>0</v>
      </c>
      <c r="N182" s="481">
        <f t="shared" si="8"/>
        <v>0</v>
      </c>
    </row>
    <row r="183" spans="1:14">
      <c r="A183" s="111">
        <v>179</v>
      </c>
      <c r="B183" s="111" t="s">
        <v>1011</v>
      </c>
      <c r="C183" s="111" t="s">
        <v>1044</v>
      </c>
      <c r="D183" s="111" t="s">
        <v>1530</v>
      </c>
      <c r="E183" s="111" t="s">
        <v>1061</v>
      </c>
      <c r="F183" s="111" t="s">
        <v>1051</v>
      </c>
      <c r="G183" s="111" t="s">
        <v>1062</v>
      </c>
      <c r="H183" s="172">
        <v>182445</v>
      </c>
      <c r="I183" s="172">
        <f t="shared" si="6"/>
        <v>200689.50000000003</v>
      </c>
      <c r="J183" s="111"/>
      <c r="L183" s="41">
        <v>182445</v>
      </c>
      <c r="M183" s="118">
        <f t="shared" si="7"/>
        <v>0</v>
      </c>
      <c r="N183" s="481">
        <f t="shared" si="8"/>
        <v>0</v>
      </c>
    </row>
    <row r="184" spans="1:14">
      <c r="A184" s="111">
        <v>180</v>
      </c>
      <c r="B184" s="111" t="s">
        <v>1011</v>
      </c>
      <c r="C184" s="111" t="s">
        <v>1044</v>
      </c>
      <c r="D184" s="111" t="s">
        <v>1530</v>
      </c>
      <c r="E184" s="111" t="s">
        <v>1063</v>
      </c>
      <c r="F184" s="111" t="s">
        <v>1054</v>
      </c>
      <c r="G184" s="111" t="s">
        <v>1064</v>
      </c>
      <c r="H184" s="172">
        <v>182445</v>
      </c>
      <c r="I184" s="172">
        <f t="shared" si="6"/>
        <v>200689.50000000003</v>
      </c>
      <c r="J184" s="111"/>
      <c r="L184" s="41">
        <v>182445</v>
      </c>
      <c r="M184" s="118">
        <f t="shared" si="7"/>
        <v>0</v>
      </c>
      <c r="N184" s="481">
        <f t="shared" si="8"/>
        <v>0</v>
      </c>
    </row>
    <row r="185" spans="1:14">
      <c r="A185" s="111">
        <v>181</v>
      </c>
      <c r="B185" s="111" t="s">
        <v>1011</v>
      </c>
      <c r="C185" s="111" t="s">
        <v>1044</v>
      </c>
      <c r="D185" s="111" t="s">
        <v>1530</v>
      </c>
      <c r="E185" s="111" t="s">
        <v>1065</v>
      </c>
      <c r="F185" s="111" t="s">
        <v>1057</v>
      </c>
      <c r="G185" s="111" t="s">
        <v>1066</v>
      </c>
      <c r="H185" s="172">
        <v>182445</v>
      </c>
      <c r="I185" s="172">
        <f t="shared" si="6"/>
        <v>200689.50000000003</v>
      </c>
      <c r="J185" s="111"/>
      <c r="L185" s="41">
        <v>182445</v>
      </c>
      <c r="M185" s="118">
        <f t="shared" si="7"/>
        <v>0</v>
      </c>
      <c r="N185" s="481">
        <f t="shared" si="8"/>
        <v>0</v>
      </c>
    </row>
    <row r="186" spans="1:14">
      <c r="A186" s="111">
        <v>182</v>
      </c>
      <c r="B186" s="111" t="s">
        <v>1011</v>
      </c>
      <c r="C186" s="111" t="s">
        <v>1044</v>
      </c>
      <c r="D186" s="111" t="s">
        <v>1530</v>
      </c>
      <c r="E186" s="111" t="s">
        <v>1067</v>
      </c>
      <c r="F186" s="111" t="s">
        <v>1048</v>
      </c>
      <c r="G186" s="111" t="s">
        <v>1068</v>
      </c>
      <c r="H186" s="172">
        <v>135464</v>
      </c>
      <c r="I186" s="172">
        <f t="shared" si="6"/>
        <v>149010.40000000002</v>
      </c>
      <c r="J186" s="111"/>
      <c r="L186" s="41">
        <v>135464</v>
      </c>
      <c r="M186" s="118">
        <f t="shared" si="7"/>
        <v>0</v>
      </c>
      <c r="N186" s="481">
        <f t="shared" si="8"/>
        <v>0</v>
      </c>
    </row>
    <row r="187" spans="1:14">
      <c r="A187" s="111">
        <v>183</v>
      </c>
      <c r="B187" s="111" t="s">
        <v>1011</v>
      </c>
      <c r="C187" s="111" t="s">
        <v>1044</v>
      </c>
      <c r="D187" s="111" t="s">
        <v>1530</v>
      </c>
      <c r="E187" s="111" t="s">
        <v>1069</v>
      </c>
      <c r="F187" s="111" t="s">
        <v>1051</v>
      </c>
      <c r="G187" s="111" t="s">
        <v>1070</v>
      </c>
      <c r="H187" s="172">
        <v>135464</v>
      </c>
      <c r="I187" s="172">
        <f t="shared" si="6"/>
        <v>149010.40000000002</v>
      </c>
      <c r="J187" s="111"/>
      <c r="L187" s="41">
        <v>135464</v>
      </c>
      <c r="M187" s="118">
        <f t="shared" si="7"/>
        <v>0</v>
      </c>
      <c r="N187" s="481">
        <f t="shared" si="8"/>
        <v>0</v>
      </c>
    </row>
    <row r="188" spans="1:14">
      <c r="A188" s="111">
        <v>184</v>
      </c>
      <c r="B188" s="111" t="s">
        <v>1011</v>
      </c>
      <c r="C188" s="111" t="s">
        <v>1044</v>
      </c>
      <c r="D188" s="111" t="s">
        <v>1530</v>
      </c>
      <c r="E188" s="111" t="s">
        <v>1071</v>
      </c>
      <c r="F188" s="111" t="s">
        <v>1054</v>
      </c>
      <c r="G188" s="111" t="s">
        <v>1072</v>
      </c>
      <c r="H188" s="172">
        <v>135464</v>
      </c>
      <c r="I188" s="172">
        <f t="shared" si="6"/>
        <v>149010.40000000002</v>
      </c>
      <c r="J188" s="111"/>
      <c r="L188" s="41">
        <v>135464</v>
      </c>
      <c r="M188" s="118">
        <f t="shared" si="7"/>
        <v>0</v>
      </c>
      <c r="N188" s="481">
        <f t="shared" si="8"/>
        <v>0</v>
      </c>
    </row>
    <row r="189" spans="1:14">
      <c r="A189" s="111">
        <v>185</v>
      </c>
      <c r="B189" s="111" t="s">
        <v>1011</v>
      </c>
      <c r="C189" s="111" t="s">
        <v>1044</v>
      </c>
      <c r="D189" s="111" t="s">
        <v>1530</v>
      </c>
      <c r="E189" s="111" t="s">
        <v>1073</v>
      </c>
      <c r="F189" s="111" t="s">
        <v>1057</v>
      </c>
      <c r="G189" s="111" t="s">
        <v>1074</v>
      </c>
      <c r="H189" s="172">
        <v>135464</v>
      </c>
      <c r="I189" s="172">
        <f t="shared" si="6"/>
        <v>149010.40000000002</v>
      </c>
      <c r="J189" s="111"/>
      <c r="L189" s="41">
        <v>135464</v>
      </c>
      <c r="M189" s="118">
        <f t="shared" si="7"/>
        <v>0</v>
      </c>
      <c r="N189" s="481">
        <f t="shared" si="8"/>
        <v>0</v>
      </c>
    </row>
    <row r="190" spans="1:14">
      <c r="A190" s="111">
        <v>186</v>
      </c>
      <c r="B190" s="111" t="s">
        <v>1011</v>
      </c>
      <c r="C190" s="111" t="s">
        <v>1044</v>
      </c>
      <c r="D190" s="111" t="s">
        <v>1530</v>
      </c>
      <c r="E190" s="111" t="s">
        <v>1075</v>
      </c>
      <c r="F190" s="111" t="s">
        <v>1048</v>
      </c>
      <c r="G190" s="111" t="s">
        <v>1076</v>
      </c>
      <c r="H190" s="172">
        <v>135464</v>
      </c>
      <c r="I190" s="172">
        <f t="shared" si="6"/>
        <v>149010.40000000002</v>
      </c>
      <c r="J190" s="111"/>
      <c r="L190" s="41">
        <v>135464</v>
      </c>
      <c r="M190" s="118">
        <f t="shared" si="7"/>
        <v>0</v>
      </c>
      <c r="N190" s="481">
        <f t="shared" si="8"/>
        <v>0</v>
      </c>
    </row>
    <row r="191" spans="1:14">
      <c r="A191" s="111">
        <v>187</v>
      </c>
      <c r="B191" s="111" t="s">
        <v>1011</v>
      </c>
      <c r="C191" s="111" t="s">
        <v>1044</v>
      </c>
      <c r="D191" s="111" t="s">
        <v>1530</v>
      </c>
      <c r="E191" s="111" t="s">
        <v>1077</v>
      </c>
      <c r="F191" s="111" t="s">
        <v>1051</v>
      </c>
      <c r="G191" s="111" t="s">
        <v>1078</v>
      </c>
      <c r="H191" s="172">
        <v>135464</v>
      </c>
      <c r="I191" s="172">
        <f t="shared" si="6"/>
        <v>149010.40000000002</v>
      </c>
      <c r="J191" s="111"/>
      <c r="L191" s="41">
        <v>135464</v>
      </c>
      <c r="M191" s="118">
        <f t="shared" si="7"/>
        <v>0</v>
      </c>
      <c r="N191" s="481">
        <f t="shared" si="8"/>
        <v>0</v>
      </c>
    </row>
    <row r="192" spans="1:14">
      <c r="A192" s="111">
        <v>188</v>
      </c>
      <c r="B192" s="111" t="s">
        <v>1011</v>
      </c>
      <c r="C192" s="111" t="s">
        <v>1044</v>
      </c>
      <c r="D192" s="111" t="s">
        <v>1530</v>
      </c>
      <c r="E192" s="111" t="s">
        <v>1079</v>
      </c>
      <c r="F192" s="111" t="s">
        <v>1054</v>
      </c>
      <c r="G192" s="111" t="s">
        <v>1080</v>
      </c>
      <c r="H192" s="172">
        <v>135464</v>
      </c>
      <c r="I192" s="172">
        <f t="shared" si="6"/>
        <v>149010.40000000002</v>
      </c>
      <c r="J192" s="111"/>
      <c r="L192" s="41">
        <v>135464</v>
      </c>
      <c r="M192" s="118">
        <f t="shared" si="7"/>
        <v>0</v>
      </c>
      <c r="N192" s="481">
        <f t="shared" si="8"/>
        <v>0</v>
      </c>
    </row>
    <row r="193" spans="1:14">
      <c r="A193" s="111">
        <v>189</v>
      </c>
      <c r="B193" s="111" t="s">
        <v>1011</v>
      </c>
      <c r="C193" s="111" t="s">
        <v>1044</v>
      </c>
      <c r="D193" s="111" t="s">
        <v>1530</v>
      </c>
      <c r="E193" s="111" t="s">
        <v>1081</v>
      </c>
      <c r="F193" s="111" t="s">
        <v>1057</v>
      </c>
      <c r="G193" s="111" t="s">
        <v>1082</v>
      </c>
      <c r="H193" s="172">
        <v>135464</v>
      </c>
      <c r="I193" s="172">
        <f t="shared" si="6"/>
        <v>149010.40000000002</v>
      </c>
      <c r="J193" s="111"/>
      <c r="L193" s="41">
        <v>135464</v>
      </c>
      <c r="M193" s="118">
        <f t="shared" si="7"/>
        <v>0</v>
      </c>
      <c r="N193" s="481">
        <f t="shared" si="8"/>
        <v>0</v>
      </c>
    </row>
    <row r="194" spans="1:14">
      <c r="A194" s="111">
        <v>190</v>
      </c>
      <c r="B194" s="111" t="s">
        <v>745</v>
      </c>
      <c r="C194" s="111" t="s">
        <v>1044</v>
      </c>
      <c r="D194" s="111" t="s">
        <v>1530</v>
      </c>
      <c r="E194" s="111" t="s">
        <v>1083</v>
      </c>
      <c r="F194" s="111" t="s">
        <v>1048</v>
      </c>
      <c r="G194" s="111" t="s">
        <v>1084</v>
      </c>
      <c r="H194" s="172">
        <v>182445</v>
      </c>
      <c r="I194" s="172">
        <f t="shared" si="6"/>
        <v>200689.50000000003</v>
      </c>
      <c r="J194" s="111"/>
      <c r="L194" s="41">
        <v>182445</v>
      </c>
      <c r="M194" s="118">
        <f t="shared" si="7"/>
        <v>0</v>
      </c>
      <c r="N194" s="481">
        <f t="shared" si="8"/>
        <v>0</v>
      </c>
    </row>
    <row r="195" spans="1:14">
      <c r="A195" s="111">
        <v>191</v>
      </c>
      <c r="B195" s="111" t="s">
        <v>745</v>
      </c>
      <c r="C195" s="111" t="s">
        <v>1044</v>
      </c>
      <c r="D195" s="111" t="s">
        <v>1530</v>
      </c>
      <c r="E195" s="111" t="s">
        <v>1085</v>
      </c>
      <c r="F195" s="111" t="s">
        <v>1051</v>
      </c>
      <c r="G195" s="111" t="s">
        <v>1086</v>
      </c>
      <c r="H195" s="172">
        <v>182445</v>
      </c>
      <c r="I195" s="172">
        <f t="shared" si="6"/>
        <v>200689.50000000003</v>
      </c>
      <c r="J195" s="111"/>
      <c r="L195" s="41">
        <v>182445</v>
      </c>
      <c r="M195" s="118">
        <f t="shared" si="7"/>
        <v>0</v>
      </c>
      <c r="N195" s="481">
        <f t="shared" si="8"/>
        <v>0</v>
      </c>
    </row>
    <row r="196" spans="1:14">
      <c r="A196" s="111">
        <v>192</v>
      </c>
      <c r="B196" s="111" t="s">
        <v>745</v>
      </c>
      <c r="C196" s="111" t="s">
        <v>1044</v>
      </c>
      <c r="D196" s="111" t="s">
        <v>1530</v>
      </c>
      <c r="E196" s="111" t="s">
        <v>1087</v>
      </c>
      <c r="F196" s="111" t="s">
        <v>1054</v>
      </c>
      <c r="G196" s="111" t="s">
        <v>1088</v>
      </c>
      <c r="H196" s="172">
        <v>182445</v>
      </c>
      <c r="I196" s="172">
        <f t="shared" si="6"/>
        <v>200689.50000000003</v>
      </c>
      <c r="J196" s="111"/>
      <c r="L196" s="41">
        <v>182445</v>
      </c>
      <c r="M196" s="118">
        <f t="shared" si="7"/>
        <v>0</v>
      </c>
      <c r="N196" s="481">
        <f t="shared" si="8"/>
        <v>0</v>
      </c>
    </row>
    <row r="197" spans="1:14">
      <c r="A197" s="111">
        <v>193</v>
      </c>
      <c r="B197" s="111" t="s">
        <v>745</v>
      </c>
      <c r="C197" s="111" t="s">
        <v>1044</v>
      </c>
      <c r="D197" s="111" t="s">
        <v>1530</v>
      </c>
      <c r="E197" s="111" t="s">
        <v>1089</v>
      </c>
      <c r="F197" s="111" t="s">
        <v>1057</v>
      </c>
      <c r="G197" s="111" t="s">
        <v>1090</v>
      </c>
      <c r="H197" s="172">
        <v>182445</v>
      </c>
      <c r="I197" s="172">
        <f t="shared" ref="I197:I260" si="9">IF(D197="Y",H197*$I$3,H197*$J$3)</f>
        <v>200689.50000000003</v>
      </c>
      <c r="J197" s="111"/>
      <c r="L197" s="41">
        <v>182445</v>
      </c>
      <c r="M197" s="118">
        <f t="shared" si="7"/>
        <v>0</v>
      </c>
      <c r="N197" s="481">
        <f t="shared" si="8"/>
        <v>0</v>
      </c>
    </row>
    <row r="198" spans="1:14">
      <c r="A198" s="111">
        <v>194</v>
      </c>
      <c r="B198" s="111" t="s">
        <v>745</v>
      </c>
      <c r="C198" s="111" t="s">
        <v>1044</v>
      </c>
      <c r="D198" s="111" t="s">
        <v>1530</v>
      </c>
      <c r="E198" s="111" t="s">
        <v>1091</v>
      </c>
      <c r="F198" s="111" t="s">
        <v>1048</v>
      </c>
      <c r="G198" s="111" t="s">
        <v>1092</v>
      </c>
      <c r="H198" s="172">
        <v>135464</v>
      </c>
      <c r="I198" s="172">
        <f t="shared" si="9"/>
        <v>149010.40000000002</v>
      </c>
      <c r="J198" s="111"/>
      <c r="L198" s="41">
        <v>135464</v>
      </c>
      <c r="M198" s="118">
        <f t="shared" ref="M198:M261" si="10">L198-H198</f>
        <v>0</v>
      </c>
      <c r="N198" s="481">
        <f t="shared" ref="N198:N261" si="11">M198/H198</f>
        <v>0</v>
      </c>
    </row>
    <row r="199" spans="1:14">
      <c r="A199" s="111">
        <v>195</v>
      </c>
      <c r="B199" s="111" t="s">
        <v>745</v>
      </c>
      <c r="C199" s="111" t="s">
        <v>1044</v>
      </c>
      <c r="D199" s="111" t="s">
        <v>1530</v>
      </c>
      <c r="E199" s="111" t="s">
        <v>1093</v>
      </c>
      <c r="F199" s="111" t="s">
        <v>1051</v>
      </c>
      <c r="G199" s="111" t="s">
        <v>1094</v>
      </c>
      <c r="H199" s="172">
        <v>135464</v>
      </c>
      <c r="I199" s="172">
        <f t="shared" si="9"/>
        <v>149010.40000000002</v>
      </c>
      <c r="J199" s="111"/>
      <c r="L199" s="41">
        <v>135464</v>
      </c>
      <c r="M199" s="118">
        <f t="shared" si="10"/>
        <v>0</v>
      </c>
      <c r="N199" s="481">
        <f t="shared" si="11"/>
        <v>0</v>
      </c>
    </row>
    <row r="200" spans="1:14">
      <c r="A200" s="111">
        <v>196</v>
      </c>
      <c r="B200" s="111" t="s">
        <v>745</v>
      </c>
      <c r="C200" s="111" t="s">
        <v>1044</v>
      </c>
      <c r="D200" s="111" t="s">
        <v>1530</v>
      </c>
      <c r="E200" s="111" t="s">
        <v>1095</v>
      </c>
      <c r="F200" s="111" t="s">
        <v>1054</v>
      </c>
      <c r="G200" s="111" t="s">
        <v>1096</v>
      </c>
      <c r="H200" s="172">
        <v>135464</v>
      </c>
      <c r="I200" s="172">
        <f t="shared" si="9"/>
        <v>149010.40000000002</v>
      </c>
      <c r="J200" s="111"/>
      <c r="L200" s="41">
        <v>135464</v>
      </c>
      <c r="M200" s="118">
        <f t="shared" si="10"/>
        <v>0</v>
      </c>
      <c r="N200" s="481">
        <f t="shared" si="11"/>
        <v>0</v>
      </c>
    </row>
    <row r="201" spans="1:14">
      <c r="A201" s="111">
        <v>197</v>
      </c>
      <c r="B201" s="111" t="s">
        <v>745</v>
      </c>
      <c r="C201" s="111" t="s">
        <v>1044</v>
      </c>
      <c r="D201" s="111" t="s">
        <v>1530</v>
      </c>
      <c r="E201" s="111" t="s">
        <v>1097</v>
      </c>
      <c r="F201" s="111" t="s">
        <v>1057</v>
      </c>
      <c r="G201" s="111" t="s">
        <v>1098</v>
      </c>
      <c r="H201" s="172">
        <v>135464</v>
      </c>
      <c r="I201" s="172">
        <f t="shared" si="9"/>
        <v>149010.40000000002</v>
      </c>
      <c r="J201" s="111"/>
      <c r="L201" s="41">
        <v>135464</v>
      </c>
      <c r="M201" s="118">
        <f t="shared" si="10"/>
        <v>0</v>
      </c>
      <c r="N201" s="481">
        <f t="shared" si="11"/>
        <v>0</v>
      </c>
    </row>
    <row r="202" spans="1:14">
      <c r="A202" s="111">
        <v>198</v>
      </c>
      <c r="B202" s="111" t="s">
        <v>1011</v>
      </c>
      <c r="C202" s="111" t="s">
        <v>1044</v>
      </c>
      <c r="D202" s="111" t="s">
        <v>1530</v>
      </c>
      <c r="E202" s="111" t="s">
        <v>1099</v>
      </c>
      <c r="F202" s="111" t="s">
        <v>1048</v>
      </c>
      <c r="G202" s="111" t="s">
        <v>1100</v>
      </c>
      <c r="H202" s="172">
        <v>152167</v>
      </c>
      <c r="I202" s="172">
        <f t="shared" si="9"/>
        <v>167383.70000000001</v>
      </c>
      <c r="J202" s="111"/>
      <c r="L202" s="41">
        <v>152167</v>
      </c>
      <c r="M202" s="118">
        <f t="shared" si="10"/>
        <v>0</v>
      </c>
      <c r="N202" s="481">
        <f t="shared" si="11"/>
        <v>0</v>
      </c>
    </row>
    <row r="203" spans="1:14">
      <c r="A203" s="111">
        <v>199</v>
      </c>
      <c r="B203" s="111" t="s">
        <v>1011</v>
      </c>
      <c r="C203" s="111" t="s">
        <v>1044</v>
      </c>
      <c r="D203" s="111" t="s">
        <v>1530</v>
      </c>
      <c r="E203" s="111" t="s">
        <v>1101</v>
      </c>
      <c r="F203" s="111" t="s">
        <v>1051</v>
      </c>
      <c r="G203" s="111" t="s">
        <v>1100</v>
      </c>
      <c r="H203" s="172">
        <v>152167</v>
      </c>
      <c r="I203" s="172">
        <f t="shared" si="9"/>
        <v>167383.70000000001</v>
      </c>
      <c r="J203" s="111"/>
      <c r="L203" s="41">
        <v>152167</v>
      </c>
      <c r="M203" s="118">
        <f t="shared" si="10"/>
        <v>0</v>
      </c>
      <c r="N203" s="481">
        <f t="shared" si="11"/>
        <v>0</v>
      </c>
    </row>
    <row r="204" spans="1:14">
      <c r="A204" s="111">
        <v>200</v>
      </c>
      <c r="B204" s="111" t="s">
        <v>1011</v>
      </c>
      <c r="C204" s="111" t="s">
        <v>1044</v>
      </c>
      <c r="D204" s="111" t="s">
        <v>1530</v>
      </c>
      <c r="E204" s="111" t="s">
        <v>1102</v>
      </c>
      <c r="F204" s="111" t="s">
        <v>1054</v>
      </c>
      <c r="G204" s="111" t="s">
        <v>1100</v>
      </c>
      <c r="H204" s="172">
        <v>152167</v>
      </c>
      <c r="I204" s="172">
        <f t="shared" si="9"/>
        <v>167383.70000000001</v>
      </c>
      <c r="J204" s="111"/>
      <c r="L204" s="41">
        <v>152167</v>
      </c>
      <c r="M204" s="118">
        <f t="shared" si="10"/>
        <v>0</v>
      </c>
      <c r="N204" s="481">
        <f t="shared" si="11"/>
        <v>0</v>
      </c>
    </row>
    <row r="205" spans="1:14">
      <c r="A205" s="111">
        <v>201</v>
      </c>
      <c r="B205" s="111" t="s">
        <v>1011</v>
      </c>
      <c r="C205" s="111" t="s">
        <v>1044</v>
      </c>
      <c r="D205" s="111" t="s">
        <v>1530</v>
      </c>
      <c r="E205" s="111" t="s">
        <v>1103</v>
      </c>
      <c r="F205" s="111" t="s">
        <v>1057</v>
      </c>
      <c r="G205" s="111" t="s">
        <v>1100</v>
      </c>
      <c r="H205" s="172">
        <v>152167</v>
      </c>
      <c r="I205" s="172">
        <f t="shared" si="9"/>
        <v>167383.70000000001</v>
      </c>
      <c r="J205" s="111"/>
      <c r="L205" s="41">
        <v>152167</v>
      </c>
      <c r="M205" s="118">
        <f t="shared" si="10"/>
        <v>0</v>
      </c>
      <c r="N205" s="481">
        <f t="shared" si="11"/>
        <v>0</v>
      </c>
    </row>
    <row r="206" spans="1:14">
      <c r="A206" s="111">
        <v>202</v>
      </c>
      <c r="B206" s="111" t="s">
        <v>1011</v>
      </c>
      <c r="C206" s="111" t="s">
        <v>1044</v>
      </c>
      <c r="D206" s="111" t="s">
        <v>1530</v>
      </c>
      <c r="E206" s="111" t="s">
        <v>1104</v>
      </c>
      <c r="F206" s="111" t="s">
        <v>1048</v>
      </c>
      <c r="G206" s="111" t="s">
        <v>1100</v>
      </c>
      <c r="H206" s="172">
        <v>152167</v>
      </c>
      <c r="I206" s="172">
        <f t="shared" si="9"/>
        <v>167383.70000000001</v>
      </c>
      <c r="J206" s="111"/>
      <c r="L206" s="41">
        <v>152167</v>
      </c>
      <c r="M206" s="118">
        <f t="shared" si="10"/>
        <v>0</v>
      </c>
      <c r="N206" s="481">
        <f t="shared" si="11"/>
        <v>0</v>
      </c>
    </row>
    <row r="207" spans="1:14">
      <c r="A207" s="111">
        <v>203</v>
      </c>
      <c r="B207" s="111" t="s">
        <v>1011</v>
      </c>
      <c r="C207" s="111" t="s">
        <v>1044</v>
      </c>
      <c r="D207" s="111" t="s">
        <v>1530</v>
      </c>
      <c r="E207" s="111" t="s">
        <v>1105</v>
      </c>
      <c r="F207" s="111" t="s">
        <v>1051</v>
      </c>
      <c r="G207" s="111" t="s">
        <v>1100</v>
      </c>
      <c r="H207" s="172">
        <v>152167</v>
      </c>
      <c r="I207" s="172">
        <f t="shared" si="9"/>
        <v>167383.70000000001</v>
      </c>
      <c r="J207" s="111"/>
      <c r="L207" s="41">
        <v>152167</v>
      </c>
      <c r="M207" s="118">
        <f t="shared" si="10"/>
        <v>0</v>
      </c>
      <c r="N207" s="481">
        <f t="shared" si="11"/>
        <v>0</v>
      </c>
    </row>
    <row r="208" spans="1:14">
      <c r="A208" s="111">
        <v>204</v>
      </c>
      <c r="B208" s="111" t="s">
        <v>1011</v>
      </c>
      <c r="C208" s="111" t="s">
        <v>1044</v>
      </c>
      <c r="D208" s="111" t="s">
        <v>1530</v>
      </c>
      <c r="E208" s="111" t="s">
        <v>1106</v>
      </c>
      <c r="F208" s="111" t="s">
        <v>1054</v>
      </c>
      <c r="G208" s="111" t="s">
        <v>1100</v>
      </c>
      <c r="H208" s="172">
        <v>152167</v>
      </c>
      <c r="I208" s="172">
        <f t="shared" si="9"/>
        <v>167383.70000000001</v>
      </c>
      <c r="J208" s="111"/>
      <c r="L208" s="41">
        <v>152167</v>
      </c>
      <c r="M208" s="118">
        <f t="shared" si="10"/>
        <v>0</v>
      </c>
      <c r="N208" s="481">
        <f t="shared" si="11"/>
        <v>0</v>
      </c>
    </row>
    <row r="209" spans="1:14">
      <c r="A209" s="111">
        <v>205</v>
      </c>
      <c r="B209" s="111" t="s">
        <v>1011</v>
      </c>
      <c r="C209" s="111" t="s">
        <v>1044</v>
      </c>
      <c r="D209" s="111" t="s">
        <v>1530</v>
      </c>
      <c r="E209" s="111" t="s">
        <v>1107</v>
      </c>
      <c r="F209" s="111" t="s">
        <v>1057</v>
      </c>
      <c r="G209" s="111" t="s">
        <v>1100</v>
      </c>
      <c r="H209" s="172">
        <v>152167</v>
      </c>
      <c r="I209" s="172">
        <f t="shared" si="9"/>
        <v>167383.70000000001</v>
      </c>
      <c r="J209" s="111"/>
      <c r="L209" s="41">
        <v>152167</v>
      </c>
      <c r="M209" s="118">
        <f t="shared" si="10"/>
        <v>0</v>
      </c>
      <c r="N209" s="481">
        <f t="shared" si="11"/>
        <v>0</v>
      </c>
    </row>
    <row r="210" spans="1:14">
      <c r="A210" s="111">
        <v>206</v>
      </c>
      <c r="B210" s="111" t="s">
        <v>1011</v>
      </c>
      <c r="C210" s="111" t="s">
        <v>1044</v>
      </c>
      <c r="D210" s="111" t="s">
        <v>1530</v>
      </c>
      <c r="E210" s="111" t="s">
        <v>1108</v>
      </c>
      <c r="F210" s="111" t="s">
        <v>1048</v>
      </c>
      <c r="G210" s="111" t="s">
        <v>1109</v>
      </c>
      <c r="H210" s="172">
        <v>182445</v>
      </c>
      <c r="I210" s="172">
        <f t="shared" si="9"/>
        <v>200689.50000000003</v>
      </c>
      <c r="J210" s="111"/>
      <c r="L210" s="41">
        <v>182445</v>
      </c>
      <c r="M210" s="118">
        <f t="shared" si="10"/>
        <v>0</v>
      </c>
      <c r="N210" s="481">
        <f t="shared" si="11"/>
        <v>0</v>
      </c>
    </row>
    <row r="211" spans="1:14">
      <c r="A211" s="111">
        <v>207</v>
      </c>
      <c r="B211" s="111" t="s">
        <v>1011</v>
      </c>
      <c r="C211" s="111" t="s">
        <v>1044</v>
      </c>
      <c r="D211" s="111" t="s">
        <v>1530</v>
      </c>
      <c r="E211" s="111" t="s">
        <v>1110</v>
      </c>
      <c r="F211" s="111" t="s">
        <v>1051</v>
      </c>
      <c r="G211" s="111" t="s">
        <v>1109</v>
      </c>
      <c r="H211" s="172">
        <v>182445</v>
      </c>
      <c r="I211" s="172">
        <f t="shared" si="9"/>
        <v>200689.50000000003</v>
      </c>
      <c r="J211" s="111"/>
      <c r="L211" s="41">
        <v>182445</v>
      </c>
      <c r="M211" s="118">
        <f t="shared" si="10"/>
        <v>0</v>
      </c>
      <c r="N211" s="481">
        <f t="shared" si="11"/>
        <v>0</v>
      </c>
    </row>
    <row r="212" spans="1:14">
      <c r="A212" s="111">
        <v>208</v>
      </c>
      <c r="B212" s="111" t="s">
        <v>1011</v>
      </c>
      <c r="C212" s="111" t="s">
        <v>1044</v>
      </c>
      <c r="D212" s="111" t="s">
        <v>1530</v>
      </c>
      <c r="E212" s="111" t="s">
        <v>1111</v>
      </c>
      <c r="F212" s="111" t="s">
        <v>1054</v>
      </c>
      <c r="G212" s="111" t="s">
        <v>1109</v>
      </c>
      <c r="H212" s="172">
        <v>182445</v>
      </c>
      <c r="I212" s="172">
        <f t="shared" si="9"/>
        <v>200689.50000000003</v>
      </c>
      <c r="J212" s="111"/>
      <c r="L212" s="41">
        <v>182445</v>
      </c>
      <c r="M212" s="118">
        <f t="shared" si="10"/>
        <v>0</v>
      </c>
      <c r="N212" s="481">
        <f t="shared" si="11"/>
        <v>0</v>
      </c>
    </row>
    <row r="213" spans="1:14">
      <c r="A213" s="111">
        <v>209</v>
      </c>
      <c r="B213" s="111" t="s">
        <v>1011</v>
      </c>
      <c r="C213" s="111" t="s">
        <v>1044</v>
      </c>
      <c r="D213" s="111" t="s">
        <v>1530</v>
      </c>
      <c r="E213" s="111" t="s">
        <v>1112</v>
      </c>
      <c r="F213" s="111" t="s">
        <v>1057</v>
      </c>
      <c r="G213" s="111" t="s">
        <v>1109</v>
      </c>
      <c r="H213" s="172">
        <v>182445</v>
      </c>
      <c r="I213" s="172">
        <f t="shared" si="9"/>
        <v>200689.50000000003</v>
      </c>
      <c r="J213" s="111"/>
      <c r="L213" s="41">
        <v>182445</v>
      </c>
      <c r="M213" s="118">
        <f t="shared" si="10"/>
        <v>0</v>
      </c>
      <c r="N213" s="481">
        <f t="shared" si="11"/>
        <v>0</v>
      </c>
    </row>
    <row r="214" spans="1:14">
      <c r="A214" s="111">
        <v>210</v>
      </c>
      <c r="B214" s="111" t="s">
        <v>1011</v>
      </c>
      <c r="C214" s="111" t="s">
        <v>1044</v>
      </c>
      <c r="D214" s="111" t="s">
        <v>1530</v>
      </c>
      <c r="E214" s="111" t="s">
        <v>1113</v>
      </c>
      <c r="F214" s="111" t="s">
        <v>1048</v>
      </c>
      <c r="G214" s="111" t="s">
        <v>1109</v>
      </c>
      <c r="H214" s="172">
        <v>182445</v>
      </c>
      <c r="I214" s="172">
        <f t="shared" si="9"/>
        <v>200689.50000000003</v>
      </c>
      <c r="J214" s="111"/>
      <c r="L214" s="41">
        <v>182445</v>
      </c>
      <c r="M214" s="118">
        <f t="shared" si="10"/>
        <v>0</v>
      </c>
      <c r="N214" s="481">
        <f t="shared" si="11"/>
        <v>0</v>
      </c>
    </row>
    <row r="215" spans="1:14">
      <c r="A215" s="111">
        <v>211</v>
      </c>
      <c r="B215" s="111" t="s">
        <v>1011</v>
      </c>
      <c r="C215" s="111" t="s">
        <v>1044</v>
      </c>
      <c r="D215" s="111" t="s">
        <v>1530</v>
      </c>
      <c r="E215" s="111" t="s">
        <v>1114</v>
      </c>
      <c r="F215" s="111" t="s">
        <v>1051</v>
      </c>
      <c r="G215" s="111" t="s">
        <v>1109</v>
      </c>
      <c r="H215" s="172">
        <v>182445</v>
      </c>
      <c r="I215" s="172">
        <f t="shared" si="9"/>
        <v>200689.50000000003</v>
      </c>
      <c r="J215" s="111"/>
      <c r="L215" s="41">
        <v>182445</v>
      </c>
      <c r="M215" s="118">
        <f t="shared" si="10"/>
        <v>0</v>
      </c>
      <c r="N215" s="481">
        <f t="shared" si="11"/>
        <v>0</v>
      </c>
    </row>
    <row r="216" spans="1:14">
      <c r="A216" s="111">
        <v>212</v>
      </c>
      <c r="B216" s="111" t="s">
        <v>1011</v>
      </c>
      <c r="C216" s="111" t="s">
        <v>1044</v>
      </c>
      <c r="D216" s="111" t="s">
        <v>1530</v>
      </c>
      <c r="E216" s="111" t="s">
        <v>1115</v>
      </c>
      <c r="F216" s="111" t="s">
        <v>1054</v>
      </c>
      <c r="G216" s="111" t="s">
        <v>1109</v>
      </c>
      <c r="H216" s="172">
        <v>182445</v>
      </c>
      <c r="I216" s="172">
        <f t="shared" si="9"/>
        <v>200689.50000000003</v>
      </c>
      <c r="J216" s="111"/>
      <c r="L216" s="41">
        <v>182445</v>
      </c>
      <c r="M216" s="118">
        <f t="shared" si="10"/>
        <v>0</v>
      </c>
      <c r="N216" s="481">
        <f t="shared" si="11"/>
        <v>0</v>
      </c>
    </row>
    <row r="217" spans="1:14">
      <c r="A217" s="111">
        <v>213</v>
      </c>
      <c r="B217" s="111" t="s">
        <v>1011</v>
      </c>
      <c r="C217" s="111" t="s">
        <v>1044</v>
      </c>
      <c r="D217" s="111" t="s">
        <v>1530</v>
      </c>
      <c r="E217" s="111" t="s">
        <v>1116</v>
      </c>
      <c r="F217" s="111" t="s">
        <v>1057</v>
      </c>
      <c r="G217" s="111" t="s">
        <v>1109</v>
      </c>
      <c r="H217" s="172">
        <v>182445</v>
      </c>
      <c r="I217" s="172">
        <f t="shared" si="9"/>
        <v>200689.50000000003</v>
      </c>
      <c r="J217" s="111"/>
      <c r="L217" s="41">
        <v>182445</v>
      </c>
      <c r="M217" s="118">
        <f t="shared" si="10"/>
        <v>0</v>
      </c>
      <c r="N217" s="481">
        <f t="shared" si="11"/>
        <v>0</v>
      </c>
    </row>
    <row r="218" spans="1:14">
      <c r="A218" s="111">
        <v>214</v>
      </c>
      <c r="B218" s="111" t="s">
        <v>1011</v>
      </c>
      <c r="C218" s="111" t="s">
        <v>1044</v>
      </c>
      <c r="D218" s="111" t="s">
        <v>1530</v>
      </c>
      <c r="E218" s="111" t="s">
        <v>1117</v>
      </c>
      <c r="F218" s="111" t="s">
        <v>1048</v>
      </c>
      <c r="G218" s="111" t="s">
        <v>1109</v>
      </c>
      <c r="H218" s="172">
        <v>182445</v>
      </c>
      <c r="I218" s="172">
        <f t="shared" si="9"/>
        <v>200689.50000000003</v>
      </c>
      <c r="J218" s="111"/>
      <c r="L218" s="41">
        <v>182445</v>
      </c>
      <c r="M218" s="118">
        <f t="shared" si="10"/>
        <v>0</v>
      </c>
      <c r="N218" s="481">
        <f t="shared" si="11"/>
        <v>0</v>
      </c>
    </row>
    <row r="219" spans="1:14">
      <c r="A219" s="111">
        <v>215</v>
      </c>
      <c r="B219" s="111" t="s">
        <v>1011</v>
      </c>
      <c r="C219" s="111" t="s">
        <v>1044</v>
      </c>
      <c r="D219" s="111" t="s">
        <v>1530</v>
      </c>
      <c r="E219" s="111" t="s">
        <v>1118</v>
      </c>
      <c r="F219" s="111" t="s">
        <v>1051</v>
      </c>
      <c r="G219" s="111" t="s">
        <v>1109</v>
      </c>
      <c r="H219" s="172">
        <v>182445</v>
      </c>
      <c r="I219" s="172">
        <f t="shared" si="9"/>
        <v>200689.50000000003</v>
      </c>
      <c r="J219" s="111"/>
      <c r="L219" s="41">
        <v>182445</v>
      </c>
      <c r="M219" s="118">
        <f t="shared" si="10"/>
        <v>0</v>
      </c>
      <c r="N219" s="481">
        <f t="shared" si="11"/>
        <v>0</v>
      </c>
    </row>
    <row r="220" spans="1:14">
      <c r="A220" s="111">
        <v>216</v>
      </c>
      <c r="B220" s="111" t="s">
        <v>1011</v>
      </c>
      <c r="C220" s="111" t="s">
        <v>1044</v>
      </c>
      <c r="D220" s="111" t="s">
        <v>1530</v>
      </c>
      <c r="E220" s="111" t="s">
        <v>1119</v>
      </c>
      <c r="F220" s="111" t="s">
        <v>1054</v>
      </c>
      <c r="G220" s="111" t="s">
        <v>1109</v>
      </c>
      <c r="H220" s="172">
        <v>182445</v>
      </c>
      <c r="I220" s="172">
        <f t="shared" si="9"/>
        <v>200689.50000000003</v>
      </c>
      <c r="J220" s="111"/>
      <c r="L220" s="41">
        <v>182445</v>
      </c>
      <c r="M220" s="118">
        <f t="shared" si="10"/>
        <v>0</v>
      </c>
      <c r="N220" s="481">
        <f t="shared" si="11"/>
        <v>0</v>
      </c>
    </row>
    <row r="221" spans="1:14">
      <c r="A221" s="111">
        <v>217</v>
      </c>
      <c r="B221" s="111" t="s">
        <v>1011</v>
      </c>
      <c r="C221" s="111" t="s">
        <v>1044</v>
      </c>
      <c r="D221" s="111" t="s">
        <v>1530</v>
      </c>
      <c r="E221" s="111" t="s">
        <v>1120</v>
      </c>
      <c r="F221" s="111" t="s">
        <v>1057</v>
      </c>
      <c r="G221" s="111" t="s">
        <v>1109</v>
      </c>
      <c r="H221" s="172">
        <v>182445</v>
      </c>
      <c r="I221" s="172">
        <f t="shared" si="9"/>
        <v>200689.50000000003</v>
      </c>
      <c r="J221" s="111"/>
      <c r="L221" s="41">
        <v>182445</v>
      </c>
      <c r="M221" s="118">
        <f t="shared" si="10"/>
        <v>0</v>
      </c>
      <c r="N221" s="481">
        <f t="shared" si="11"/>
        <v>0</v>
      </c>
    </row>
    <row r="222" spans="1:14">
      <c r="A222" s="111">
        <v>218</v>
      </c>
      <c r="B222" s="111" t="s">
        <v>1011</v>
      </c>
      <c r="C222" s="111" t="s">
        <v>1044</v>
      </c>
      <c r="D222" s="111" t="s">
        <v>1530</v>
      </c>
      <c r="E222" s="111" t="s">
        <v>1121</v>
      </c>
      <c r="F222" s="111" t="s">
        <v>1048</v>
      </c>
      <c r="G222" s="111" t="s">
        <v>1109</v>
      </c>
      <c r="H222" s="172">
        <v>182445</v>
      </c>
      <c r="I222" s="172">
        <f t="shared" si="9"/>
        <v>200689.50000000003</v>
      </c>
      <c r="J222" s="111"/>
      <c r="L222" s="41">
        <v>182445</v>
      </c>
      <c r="M222" s="118">
        <f t="shared" si="10"/>
        <v>0</v>
      </c>
      <c r="N222" s="481">
        <f t="shared" si="11"/>
        <v>0</v>
      </c>
    </row>
    <row r="223" spans="1:14">
      <c r="A223" s="111">
        <v>219</v>
      </c>
      <c r="B223" s="111" t="s">
        <v>1011</v>
      </c>
      <c r="C223" s="111" t="s">
        <v>1044</v>
      </c>
      <c r="D223" s="111" t="s">
        <v>1530</v>
      </c>
      <c r="E223" s="111" t="s">
        <v>1122</v>
      </c>
      <c r="F223" s="111" t="s">
        <v>1051</v>
      </c>
      <c r="G223" s="111" t="s">
        <v>1109</v>
      </c>
      <c r="H223" s="172">
        <v>182445</v>
      </c>
      <c r="I223" s="172">
        <f t="shared" si="9"/>
        <v>200689.50000000003</v>
      </c>
      <c r="J223" s="111"/>
      <c r="L223" s="41">
        <v>182445</v>
      </c>
      <c r="M223" s="118">
        <f t="shared" si="10"/>
        <v>0</v>
      </c>
      <c r="N223" s="481">
        <f t="shared" si="11"/>
        <v>0</v>
      </c>
    </row>
    <row r="224" spans="1:14">
      <c r="A224" s="111">
        <v>220</v>
      </c>
      <c r="B224" s="111" t="s">
        <v>1011</v>
      </c>
      <c r="C224" s="111" t="s">
        <v>1044</v>
      </c>
      <c r="D224" s="111" t="s">
        <v>1530</v>
      </c>
      <c r="E224" s="111" t="s">
        <v>1123</v>
      </c>
      <c r="F224" s="111" t="s">
        <v>1054</v>
      </c>
      <c r="G224" s="111" t="s">
        <v>1109</v>
      </c>
      <c r="H224" s="172">
        <v>182445</v>
      </c>
      <c r="I224" s="172">
        <f t="shared" si="9"/>
        <v>200689.50000000003</v>
      </c>
      <c r="J224" s="111"/>
      <c r="L224" s="41">
        <v>182445</v>
      </c>
      <c r="M224" s="118">
        <f t="shared" si="10"/>
        <v>0</v>
      </c>
      <c r="N224" s="481">
        <f t="shared" si="11"/>
        <v>0</v>
      </c>
    </row>
    <row r="225" spans="1:14">
      <c r="A225" s="111">
        <v>221</v>
      </c>
      <c r="B225" s="111" t="s">
        <v>1011</v>
      </c>
      <c r="C225" s="111" t="s">
        <v>1044</v>
      </c>
      <c r="D225" s="111" t="s">
        <v>1530</v>
      </c>
      <c r="E225" s="111" t="s">
        <v>1124</v>
      </c>
      <c r="F225" s="111" t="s">
        <v>1057</v>
      </c>
      <c r="G225" s="111" t="s">
        <v>1109</v>
      </c>
      <c r="H225" s="172">
        <v>182445</v>
      </c>
      <c r="I225" s="172">
        <f t="shared" si="9"/>
        <v>200689.50000000003</v>
      </c>
      <c r="J225" s="111"/>
      <c r="L225" s="41">
        <v>182445</v>
      </c>
      <c r="M225" s="118">
        <f t="shared" si="10"/>
        <v>0</v>
      </c>
      <c r="N225" s="481">
        <f t="shared" si="11"/>
        <v>0</v>
      </c>
    </row>
    <row r="226" spans="1:14">
      <c r="A226" s="111">
        <v>222</v>
      </c>
      <c r="B226" s="111" t="s">
        <v>1011</v>
      </c>
      <c r="C226" s="111" t="s">
        <v>1044</v>
      </c>
      <c r="D226" s="111" t="s">
        <v>1530</v>
      </c>
      <c r="E226" s="111" t="s">
        <v>1125</v>
      </c>
      <c r="F226" s="111" t="s">
        <v>1048</v>
      </c>
      <c r="G226" s="111" t="s">
        <v>1126</v>
      </c>
      <c r="H226" s="172">
        <v>152167</v>
      </c>
      <c r="I226" s="172">
        <f t="shared" si="9"/>
        <v>167383.70000000001</v>
      </c>
      <c r="J226" s="111"/>
      <c r="L226" s="41">
        <f>VLOOKUP(E226,[3]단가!B$4:M$724,12,0)</f>
        <v>152167</v>
      </c>
      <c r="M226" s="118">
        <f t="shared" si="10"/>
        <v>0</v>
      </c>
      <c r="N226" s="481">
        <f t="shared" si="11"/>
        <v>0</v>
      </c>
    </row>
    <row r="227" spans="1:14">
      <c r="A227" s="111">
        <v>223</v>
      </c>
      <c r="B227" s="111" t="s">
        <v>1011</v>
      </c>
      <c r="C227" s="111" t="s">
        <v>1044</v>
      </c>
      <c r="D227" s="111" t="s">
        <v>1530</v>
      </c>
      <c r="E227" s="111" t="s">
        <v>1127</v>
      </c>
      <c r="F227" s="111" t="s">
        <v>1051</v>
      </c>
      <c r="G227" s="111" t="s">
        <v>1126</v>
      </c>
      <c r="H227" s="172">
        <v>152167</v>
      </c>
      <c r="I227" s="172">
        <f t="shared" si="9"/>
        <v>167383.70000000001</v>
      </c>
      <c r="J227" s="111"/>
      <c r="L227" s="41">
        <f>VLOOKUP(E227,[3]단가!B$4:M$724,12,0)</f>
        <v>152167</v>
      </c>
      <c r="M227" s="118">
        <f t="shared" si="10"/>
        <v>0</v>
      </c>
      <c r="N227" s="481">
        <f t="shared" si="11"/>
        <v>0</v>
      </c>
    </row>
    <row r="228" spans="1:14">
      <c r="A228" s="111">
        <v>224</v>
      </c>
      <c r="B228" s="111" t="s">
        <v>1011</v>
      </c>
      <c r="C228" s="111" t="s">
        <v>1044</v>
      </c>
      <c r="D228" s="111" t="s">
        <v>1530</v>
      </c>
      <c r="E228" s="111" t="s">
        <v>1128</v>
      </c>
      <c r="F228" s="111" t="s">
        <v>1054</v>
      </c>
      <c r="G228" s="111" t="s">
        <v>1126</v>
      </c>
      <c r="H228" s="172">
        <v>152167</v>
      </c>
      <c r="I228" s="172">
        <f t="shared" si="9"/>
        <v>167383.70000000001</v>
      </c>
      <c r="J228" s="111"/>
      <c r="L228" s="41">
        <f>VLOOKUP(E228,[3]단가!B$4:M$724,12,0)</f>
        <v>152167</v>
      </c>
      <c r="M228" s="118">
        <f t="shared" si="10"/>
        <v>0</v>
      </c>
      <c r="N228" s="481">
        <f t="shared" si="11"/>
        <v>0</v>
      </c>
    </row>
    <row r="229" spans="1:14">
      <c r="A229" s="111">
        <v>225</v>
      </c>
      <c r="B229" s="111" t="s">
        <v>1011</v>
      </c>
      <c r="C229" s="111" t="s">
        <v>1044</v>
      </c>
      <c r="D229" s="111" t="s">
        <v>1530</v>
      </c>
      <c r="E229" s="111" t="s">
        <v>1129</v>
      </c>
      <c r="F229" s="111" t="s">
        <v>1057</v>
      </c>
      <c r="G229" s="111" t="s">
        <v>1126</v>
      </c>
      <c r="H229" s="172">
        <v>152167</v>
      </c>
      <c r="I229" s="172">
        <f t="shared" si="9"/>
        <v>167383.70000000001</v>
      </c>
      <c r="J229" s="111"/>
      <c r="L229" s="41">
        <v>152167</v>
      </c>
      <c r="M229" s="118">
        <f t="shared" si="10"/>
        <v>0</v>
      </c>
      <c r="N229" s="481">
        <f t="shared" si="11"/>
        <v>0</v>
      </c>
    </row>
    <row r="230" spans="1:14">
      <c r="A230" s="111">
        <v>226</v>
      </c>
      <c r="B230" s="111" t="s">
        <v>1011</v>
      </c>
      <c r="C230" s="111" t="s">
        <v>1044</v>
      </c>
      <c r="D230" s="111" t="s">
        <v>1530</v>
      </c>
      <c r="E230" s="111" t="s">
        <v>1130</v>
      </c>
      <c r="F230" s="111" t="s">
        <v>1048</v>
      </c>
      <c r="G230" s="111" t="s">
        <v>1126</v>
      </c>
      <c r="H230" s="172">
        <v>152167</v>
      </c>
      <c r="I230" s="172">
        <f t="shared" si="9"/>
        <v>167383.70000000001</v>
      </c>
      <c r="J230" s="111"/>
      <c r="L230" s="41">
        <v>152167</v>
      </c>
      <c r="M230" s="118">
        <f t="shared" si="10"/>
        <v>0</v>
      </c>
      <c r="N230" s="481">
        <f t="shared" si="11"/>
        <v>0</v>
      </c>
    </row>
    <row r="231" spans="1:14">
      <c r="A231" s="111">
        <v>227</v>
      </c>
      <c r="B231" s="111" t="s">
        <v>1011</v>
      </c>
      <c r="C231" s="111" t="s">
        <v>1044</v>
      </c>
      <c r="D231" s="111" t="s">
        <v>1530</v>
      </c>
      <c r="E231" s="111" t="s">
        <v>1131</v>
      </c>
      <c r="F231" s="111" t="s">
        <v>1051</v>
      </c>
      <c r="G231" s="111" t="s">
        <v>1126</v>
      </c>
      <c r="H231" s="172">
        <v>152167</v>
      </c>
      <c r="I231" s="172">
        <f t="shared" si="9"/>
        <v>167383.70000000001</v>
      </c>
      <c r="J231" s="111"/>
      <c r="L231" s="41">
        <v>152167</v>
      </c>
      <c r="M231" s="118">
        <f t="shared" si="10"/>
        <v>0</v>
      </c>
      <c r="N231" s="481">
        <f t="shared" si="11"/>
        <v>0</v>
      </c>
    </row>
    <row r="232" spans="1:14">
      <c r="A232" s="111">
        <v>228</v>
      </c>
      <c r="B232" s="111" t="s">
        <v>1011</v>
      </c>
      <c r="C232" s="111" t="s">
        <v>1044</v>
      </c>
      <c r="D232" s="111" t="s">
        <v>1530</v>
      </c>
      <c r="E232" s="111" t="s">
        <v>1132</v>
      </c>
      <c r="F232" s="111" t="s">
        <v>1054</v>
      </c>
      <c r="G232" s="111" t="s">
        <v>1126</v>
      </c>
      <c r="H232" s="172">
        <v>152167</v>
      </c>
      <c r="I232" s="172">
        <f t="shared" si="9"/>
        <v>167383.70000000001</v>
      </c>
      <c r="J232" s="111"/>
      <c r="L232" s="41">
        <v>152167</v>
      </c>
      <c r="M232" s="118">
        <f t="shared" si="10"/>
        <v>0</v>
      </c>
      <c r="N232" s="481">
        <f t="shared" si="11"/>
        <v>0</v>
      </c>
    </row>
    <row r="233" spans="1:14">
      <c r="A233" s="111">
        <v>229</v>
      </c>
      <c r="B233" s="111" t="s">
        <v>1011</v>
      </c>
      <c r="C233" s="111" t="s">
        <v>1044</v>
      </c>
      <c r="D233" s="111" t="s">
        <v>1530</v>
      </c>
      <c r="E233" s="111" t="s">
        <v>1133</v>
      </c>
      <c r="F233" s="111" t="s">
        <v>1057</v>
      </c>
      <c r="G233" s="111" t="s">
        <v>1126</v>
      </c>
      <c r="H233" s="172">
        <v>152167</v>
      </c>
      <c r="I233" s="172">
        <f t="shared" si="9"/>
        <v>167383.70000000001</v>
      </c>
      <c r="J233" s="111"/>
      <c r="L233" s="41">
        <v>152167</v>
      </c>
      <c r="M233" s="118">
        <f t="shared" si="10"/>
        <v>0</v>
      </c>
      <c r="N233" s="481">
        <f t="shared" si="11"/>
        <v>0</v>
      </c>
    </row>
    <row r="234" spans="1:14">
      <c r="A234" s="111">
        <v>230</v>
      </c>
      <c r="B234" s="111" t="s">
        <v>1011</v>
      </c>
      <c r="C234" s="111" t="s">
        <v>1044</v>
      </c>
      <c r="D234" s="111" t="s">
        <v>1530</v>
      </c>
      <c r="E234" s="111" t="s">
        <v>1134</v>
      </c>
      <c r="F234" s="111" t="s">
        <v>1048</v>
      </c>
      <c r="G234" s="111" t="s">
        <v>1126</v>
      </c>
      <c r="H234" s="172">
        <v>152167</v>
      </c>
      <c r="I234" s="172">
        <f t="shared" si="9"/>
        <v>167383.70000000001</v>
      </c>
      <c r="J234" s="111"/>
      <c r="L234" s="41">
        <v>152167</v>
      </c>
      <c r="M234" s="118">
        <f t="shared" si="10"/>
        <v>0</v>
      </c>
      <c r="N234" s="481">
        <f t="shared" si="11"/>
        <v>0</v>
      </c>
    </row>
    <row r="235" spans="1:14">
      <c r="A235" s="111">
        <v>231</v>
      </c>
      <c r="B235" s="111" t="s">
        <v>1011</v>
      </c>
      <c r="C235" s="111" t="s">
        <v>1044</v>
      </c>
      <c r="D235" s="111" t="s">
        <v>1530</v>
      </c>
      <c r="E235" s="111" t="s">
        <v>1135</v>
      </c>
      <c r="F235" s="111" t="s">
        <v>1051</v>
      </c>
      <c r="G235" s="111" t="s">
        <v>1126</v>
      </c>
      <c r="H235" s="172">
        <v>152167</v>
      </c>
      <c r="I235" s="172">
        <f t="shared" si="9"/>
        <v>167383.70000000001</v>
      </c>
      <c r="J235" s="111"/>
      <c r="L235" s="41">
        <v>152167</v>
      </c>
      <c r="M235" s="118">
        <f t="shared" si="10"/>
        <v>0</v>
      </c>
      <c r="N235" s="481">
        <f t="shared" si="11"/>
        <v>0</v>
      </c>
    </row>
    <row r="236" spans="1:14">
      <c r="A236" s="111">
        <v>232</v>
      </c>
      <c r="B236" s="111" t="s">
        <v>1011</v>
      </c>
      <c r="C236" s="111" t="s">
        <v>1044</v>
      </c>
      <c r="D236" s="111" t="s">
        <v>1530</v>
      </c>
      <c r="E236" s="111" t="s">
        <v>1136</v>
      </c>
      <c r="F236" s="111" t="s">
        <v>1054</v>
      </c>
      <c r="G236" s="111" t="s">
        <v>1126</v>
      </c>
      <c r="H236" s="172">
        <v>152167</v>
      </c>
      <c r="I236" s="172">
        <f t="shared" si="9"/>
        <v>167383.70000000001</v>
      </c>
      <c r="J236" s="111"/>
      <c r="L236" s="41">
        <v>152167</v>
      </c>
      <c r="M236" s="118">
        <f t="shared" si="10"/>
        <v>0</v>
      </c>
      <c r="N236" s="481">
        <f t="shared" si="11"/>
        <v>0</v>
      </c>
    </row>
    <row r="237" spans="1:14">
      <c r="A237" s="111">
        <v>233</v>
      </c>
      <c r="B237" s="111" t="s">
        <v>1011</v>
      </c>
      <c r="C237" s="111" t="s">
        <v>1044</v>
      </c>
      <c r="D237" s="111" t="s">
        <v>1530</v>
      </c>
      <c r="E237" s="111" t="s">
        <v>1137</v>
      </c>
      <c r="F237" s="111" t="s">
        <v>1057</v>
      </c>
      <c r="G237" s="111" t="s">
        <v>1126</v>
      </c>
      <c r="H237" s="172">
        <v>152167</v>
      </c>
      <c r="I237" s="172">
        <f t="shared" si="9"/>
        <v>167383.70000000001</v>
      </c>
      <c r="J237" s="111"/>
      <c r="L237" s="41">
        <v>152167</v>
      </c>
      <c r="M237" s="118">
        <f t="shared" si="10"/>
        <v>0</v>
      </c>
      <c r="N237" s="481">
        <f t="shared" si="11"/>
        <v>0</v>
      </c>
    </row>
    <row r="238" spans="1:14">
      <c r="A238" s="111">
        <v>234</v>
      </c>
      <c r="B238" s="111" t="s">
        <v>1011</v>
      </c>
      <c r="C238" s="111" t="s">
        <v>1044</v>
      </c>
      <c r="D238" s="111" t="s">
        <v>1530</v>
      </c>
      <c r="E238" s="111" t="s">
        <v>1138</v>
      </c>
      <c r="F238" s="111" t="s">
        <v>1048</v>
      </c>
      <c r="G238" s="111" t="s">
        <v>1126</v>
      </c>
      <c r="H238" s="172">
        <v>152167</v>
      </c>
      <c r="I238" s="172">
        <f t="shared" si="9"/>
        <v>167383.70000000001</v>
      </c>
      <c r="J238" s="111"/>
      <c r="L238" s="41">
        <v>152167</v>
      </c>
      <c r="M238" s="118">
        <f t="shared" si="10"/>
        <v>0</v>
      </c>
      <c r="N238" s="481">
        <f t="shared" si="11"/>
        <v>0</v>
      </c>
    </row>
    <row r="239" spans="1:14">
      <c r="A239" s="111">
        <v>235</v>
      </c>
      <c r="B239" s="111" t="s">
        <v>1011</v>
      </c>
      <c r="C239" s="111" t="s">
        <v>1044</v>
      </c>
      <c r="D239" s="111" t="s">
        <v>1530</v>
      </c>
      <c r="E239" s="111" t="s">
        <v>1139</v>
      </c>
      <c r="F239" s="111" t="s">
        <v>1051</v>
      </c>
      <c r="G239" s="111" t="s">
        <v>1126</v>
      </c>
      <c r="H239" s="172">
        <v>152167</v>
      </c>
      <c r="I239" s="172">
        <f t="shared" si="9"/>
        <v>167383.70000000001</v>
      </c>
      <c r="J239" s="111"/>
      <c r="L239" s="41">
        <v>152167</v>
      </c>
      <c r="M239" s="118">
        <f t="shared" si="10"/>
        <v>0</v>
      </c>
      <c r="N239" s="481">
        <f t="shared" si="11"/>
        <v>0</v>
      </c>
    </row>
    <row r="240" spans="1:14">
      <c r="A240" s="111">
        <v>236</v>
      </c>
      <c r="B240" s="111" t="s">
        <v>1011</v>
      </c>
      <c r="C240" s="111" t="s">
        <v>1044</v>
      </c>
      <c r="D240" s="111" t="s">
        <v>1530</v>
      </c>
      <c r="E240" s="111" t="s">
        <v>1140</v>
      </c>
      <c r="F240" s="111" t="s">
        <v>1054</v>
      </c>
      <c r="G240" s="111" t="s">
        <v>1126</v>
      </c>
      <c r="H240" s="172">
        <v>152167</v>
      </c>
      <c r="I240" s="172">
        <f t="shared" si="9"/>
        <v>167383.70000000001</v>
      </c>
      <c r="J240" s="111"/>
      <c r="L240" s="41">
        <v>152167</v>
      </c>
      <c r="M240" s="118">
        <f t="shared" si="10"/>
        <v>0</v>
      </c>
      <c r="N240" s="481">
        <f t="shared" si="11"/>
        <v>0</v>
      </c>
    </row>
    <row r="241" spans="1:14">
      <c r="A241" s="111">
        <v>237</v>
      </c>
      <c r="B241" s="111" t="s">
        <v>1011</v>
      </c>
      <c r="C241" s="111" t="s">
        <v>1044</v>
      </c>
      <c r="D241" s="111" t="s">
        <v>1530</v>
      </c>
      <c r="E241" s="111" t="s">
        <v>1141</v>
      </c>
      <c r="F241" s="111" t="s">
        <v>1057</v>
      </c>
      <c r="G241" s="111" t="s">
        <v>1126</v>
      </c>
      <c r="H241" s="172">
        <v>152167</v>
      </c>
      <c r="I241" s="172">
        <f t="shared" si="9"/>
        <v>167383.70000000001</v>
      </c>
      <c r="J241" s="111"/>
      <c r="L241" s="41">
        <v>152167</v>
      </c>
      <c r="M241" s="118">
        <f t="shared" si="10"/>
        <v>0</v>
      </c>
      <c r="N241" s="481">
        <f t="shared" si="11"/>
        <v>0</v>
      </c>
    </row>
    <row r="242" spans="1:14">
      <c r="A242" s="111">
        <v>238</v>
      </c>
      <c r="B242" s="111" t="s">
        <v>1011</v>
      </c>
      <c r="C242" s="111" t="s">
        <v>1044</v>
      </c>
      <c r="D242" s="111" t="s">
        <v>1530</v>
      </c>
      <c r="E242" s="111" t="s">
        <v>1142</v>
      </c>
      <c r="F242" s="111" t="s">
        <v>1048</v>
      </c>
      <c r="G242" s="111" t="s">
        <v>1143</v>
      </c>
      <c r="H242" s="172">
        <v>182445</v>
      </c>
      <c r="I242" s="172">
        <f t="shared" si="9"/>
        <v>200689.50000000003</v>
      </c>
      <c r="J242" s="111"/>
      <c r="L242" s="41">
        <v>182445</v>
      </c>
      <c r="M242" s="118">
        <f t="shared" si="10"/>
        <v>0</v>
      </c>
      <c r="N242" s="481">
        <f t="shared" si="11"/>
        <v>0</v>
      </c>
    </row>
    <row r="243" spans="1:14">
      <c r="A243" s="111">
        <v>239</v>
      </c>
      <c r="B243" s="111" t="s">
        <v>1011</v>
      </c>
      <c r="C243" s="111" t="s">
        <v>1044</v>
      </c>
      <c r="D243" s="111" t="s">
        <v>1530</v>
      </c>
      <c r="E243" s="111" t="s">
        <v>1144</v>
      </c>
      <c r="F243" s="111" t="s">
        <v>1051</v>
      </c>
      <c r="G243" s="111" t="s">
        <v>1145</v>
      </c>
      <c r="H243" s="172">
        <v>182445</v>
      </c>
      <c r="I243" s="172">
        <f t="shared" si="9"/>
        <v>200689.50000000003</v>
      </c>
      <c r="J243" s="111"/>
      <c r="L243" s="41">
        <v>182445</v>
      </c>
      <c r="M243" s="118">
        <f t="shared" si="10"/>
        <v>0</v>
      </c>
      <c r="N243" s="481">
        <f t="shared" si="11"/>
        <v>0</v>
      </c>
    </row>
    <row r="244" spans="1:14">
      <c r="A244" s="111">
        <v>240</v>
      </c>
      <c r="B244" s="111" t="s">
        <v>1011</v>
      </c>
      <c r="C244" s="111" t="s">
        <v>1044</v>
      </c>
      <c r="D244" s="111" t="s">
        <v>1530</v>
      </c>
      <c r="E244" s="111" t="s">
        <v>1146</v>
      </c>
      <c r="F244" s="111" t="s">
        <v>1054</v>
      </c>
      <c r="G244" s="111" t="s">
        <v>1147</v>
      </c>
      <c r="H244" s="172">
        <v>182445</v>
      </c>
      <c r="I244" s="172">
        <f t="shared" si="9"/>
        <v>200689.50000000003</v>
      </c>
      <c r="J244" s="111"/>
      <c r="L244" s="41">
        <v>182445</v>
      </c>
      <c r="M244" s="118">
        <f t="shared" si="10"/>
        <v>0</v>
      </c>
      <c r="N244" s="481">
        <f t="shared" si="11"/>
        <v>0</v>
      </c>
    </row>
    <row r="245" spans="1:14">
      <c r="A245" s="111">
        <v>241</v>
      </c>
      <c r="B245" s="111" t="s">
        <v>1011</v>
      </c>
      <c r="C245" s="111" t="s">
        <v>1044</v>
      </c>
      <c r="D245" s="111" t="s">
        <v>1530</v>
      </c>
      <c r="E245" s="111" t="s">
        <v>1148</v>
      </c>
      <c r="F245" s="111" t="s">
        <v>1057</v>
      </c>
      <c r="G245" s="111" t="s">
        <v>1149</v>
      </c>
      <c r="H245" s="172">
        <v>182445</v>
      </c>
      <c r="I245" s="172">
        <f t="shared" si="9"/>
        <v>200689.50000000003</v>
      </c>
      <c r="J245" s="111"/>
      <c r="L245" s="41">
        <v>182445</v>
      </c>
      <c r="M245" s="118">
        <f t="shared" si="10"/>
        <v>0</v>
      </c>
      <c r="N245" s="481">
        <f t="shared" si="11"/>
        <v>0</v>
      </c>
    </row>
    <row r="246" spans="1:14">
      <c r="A246" s="111">
        <v>242</v>
      </c>
      <c r="B246" s="111" t="s">
        <v>745</v>
      </c>
      <c r="C246" s="111" t="s">
        <v>1044</v>
      </c>
      <c r="D246" s="111" t="s">
        <v>1530</v>
      </c>
      <c r="E246" s="111" t="s">
        <v>1150</v>
      </c>
      <c r="F246" s="111" t="s">
        <v>1013</v>
      </c>
      <c r="G246" s="111" t="s">
        <v>1151</v>
      </c>
      <c r="H246" s="172">
        <v>182445</v>
      </c>
      <c r="I246" s="172">
        <f t="shared" si="9"/>
        <v>200689.50000000003</v>
      </c>
      <c r="J246" s="111"/>
      <c r="L246" s="41">
        <v>182445</v>
      </c>
      <c r="M246" s="118">
        <f t="shared" si="10"/>
        <v>0</v>
      </c>
      <c r="N246" s="481">
        <f t="shared" si="11"/>
        <v>0</v>
      </c>
    </row>
    <row r="247" spans="1:14">
      <c r="A247" s="111">
        <v>243</v>
      </c>
      <c r="B247" s="111" t="s">
        <v>745</v>
      </c>
      <c r="C247" s="111" t="s">
        <v>1044</v>
      </c>
      <c r="D247" s="111" t="s">
        <v>1530</v>
      </c>
      <c r="E247" s="111" t="s">
        <v>1152</v>
      </c>
      <c r="F247" s="111" t="s">
        <v>1016</v>
      </c>
      <c r="G247" s="111" t="s">
        <v>1153</v>
      </c>
      <c r="H247" s="172">
        <v>182445</v>
      </c>
      <c r="I247" s="172">
        <f t="shared" si="9"/>
        <v>200689.50000000003</v>
      </c>
      <c r="J247" s="111"/>
      <c r="L247" s="41">
        <v>182445</v>
      </c>
      <c r="M247" s="118">
        <f t="shared" si="10"/>
        <v>0</v>
      </c>
      <c r="N247" s="481">
        <f t="shared" si="11"/>
        <v>0</v>
      </c>
    </row>
    <row r="248" spans="1:14">
      <c r="A248" s="111">
        <v>244</v>
      </c>
      <c r="B248" s="111" t="s">
        <v>1011</v>
      </c>
      <c r="C248" s="111" t="s">
        <v>1044</v>
      </c>
      <c r="D248" s="111" t="s">
        <v>1530</v>
      </c>
      <c r="E248" s="111" t="s">
        <v>1154</v>
      </c>
      <c r="F248" s="111" t="s">
        <v>1018</v>
      </c>
      <c r="G248" s="111" t="s">
        <v>1155</v>
      </c>
      <c r="H248" s="172">
        <v>182445</v>
      </c>
      <c r="I248" s="172">
        <f t="shared" si="9"/>
        <v>200689.50000000003</v>
      </c>
      <c r="J248" s="111"/>
      <c r="L248" s="41">
        <v>182445</v>
      </c>
      <c r="M248" s="118">
        <f t="shared" si="10"/>
        <v>0</v>
      </c>
      <c r="N248" s="481">
        <f t="shared" si="11"/>
        <v>0</v>
      </c>
    </row>
    <row r="249" spans="1:14">
      <c r="A249" s="111">
        <v>245</v>
      </c>
      <c r="B249" s="111" t="s">
        <v>1011</v>
      </c>
      <c r="C249" s="111" t="s">
        <v>1044</v>
      </c>
      <c r="D249" s="111" t="s">
        <v>1530</v>
      </c>
      <c r="E249" s="111" t="s">
        <v>1156</v>
      </c>
      <c r="F249" s="111" t="s">
        <v>1020</v>
      </c>
      <c r="G249" s="111" t="s">
        <v>1157</v>
      </c>
      <c r="H249" s="172">
        <v>182445</v>
      </c>
      <c r="I249" s="172">
        <f t="shared" si="9"/>
        <v>200689.50000000003</v>
      </c>
      <c r="J249" s="111"/>
      <c r="L249" s="41">
        <v>182445</v>
      </c>
      <c r="M249" s="118">
        <f t="shared" si="10"/>
        <v>0</v>
      </c>
      <c r="N249" s="481">
        <f t="shared" si="11"/>
        <v>0</v>
      </c>
    </row>
    <row r="250" spans="1:14">
      <c r="A250" s="111">
        <v>246</v>
      </c>
      <c r="B250" s="111" t="s">
        <v>1011</v>
      </c>
      <c r="C250" s="111" t="s">
        <v>1044</v>
      </c>
      <c r="D250" s="111" t="s">
        <v>1530</v>
      </c>
      <c r="E250" s="111" t="s">
        <v>1158</v>
      </c>
      <c r="F250" s="111" t="s">
        <v>1013</v>
      </c>
      <c r="G250" s="111" t="s">
        <v>1159</v>
      </c>
      <c r="H250" s="172">
        <v>182445</v>
      </c>
      <c r="I250" s="172">
        <f t="shared" si="9"/>
        <v>200689.50000000003</v>
      </c>
      <c r="J250" s="111"/>
      <c r="L250" s="41">
        <v>182445</v>
      </c>
      <c r="M250" s="118">
        <f t="shared" si="10"/>
        <v>0</v>
      </c>
      <c r="N250" s="481">
        <f t="shared" si="11"/>
        <v>0</v>
      </c>
    </row>
    <row r="251" spans="1:14">
      <c r="A251" s="111">
        <v>247</v>
      </c>
      <c r="B251" s="111" t="s">
        <v>1011</v>
      </c>
      <c r="C251" s="111" t="s">
        <v>1044</v>
      </c>
      <c r="D251" s="111" t="s">
        <v>1530</v>
      </c>
      <c r="E251" s="111" t="s">
        <v>1160</v>
      </c>
      <c r="F251" s="111" t="s">
        <v>1016</v>
      </c>
      <c r="G251" s="111" t="s">
        <v>1161</v>
      </c>
      <c r="H251" s="172">
        <v>182445</v>
      </c>
      <c r="I251" s="172">
        <f t="shared" si="9"/>
        <v>200689.50000000003</v>
      </c>
      <c r="J251" s="111"/>
      <c r="L251" s="41">
        <v>182445</v>
      </c>
      <c r="M251" s="118">
        <f t="shared" si="10"/>
        <v>0</v>
      </c>
      <c r="N251" s="481">
        <f t="shared" si="11"/>
        <v>0</v>
      </c>
    </row>
    <row r="252" spans="1:14">
      <c r="A252" s="111">
        <v>248</v>
      </c>
      <c r="B252" s="111" t="s">
        <v>1011</v>
      </c>
      <c r="C252" s="111" t="s">
        <v>1044</v>
      </c>
      <c r="D252" s="111" t="s">
        <v>1530</v>
      </c>
      <c r="E252" s="111" t="s">
        <v>1162</v>
      </c>
      <c r="F252" s="111" t="s">
        <v>1018</v>
      </c>
      <c r="G252" s="111" t="s">
        <v>1163</v>
      </c>
      <c r="H252" s="172">
        <v>182445</v>
      </c>
      <c r="I252" s="172">
        <f t="shared" si="9"/>
        <v>200689.50000000003</v>
      </c>
      <c r="J252" s="111"/>
      <c r="L252" s="41">
        <v>182445</v>
      </c>
      <c r="M252" s="118">
        <f t="shared" si="10"/>
        <v>0</v>
      </c>
      <c r="N252" s="481">
        <f t="shared" si="11"/>
        <v>0</v>
      </c>
    </row>
    <row r="253" spans="1:14">
      <c r="A253" s="111">
        <v>249</v>
      </c>
      <c r="B253" s="111" t="s">
        <v>1011</v>
      </c>
      <c r="C253" s="111" t="s">
        <v>1044</v>
      </c>
      <c r="D253" s="111" t="s">
        <v>1530</v>
      </c>
      <c r="E253" s="111" t="s">
        <v>1164</v>
      </c>
      <c r="F253" s="111" t="s">
        <v>1020</v>
      </c>
      <c r="G253" s="111" t="s">
        <v>1165</v>
      </c>
      <c r="H253" s="172">
        <v>182445</v>
      </c>
      <c r="I253" s="172">
        <f t="shared" si="9"/>
        <v>200689.50000000003</v>
      </c>
      <c r="J253" s="111"/>
      <c r="L253" s="41">
        <v>182445</v>
      </c>
      <c r="M253" s="118">
        <f t="shared" si="10"/>
        <v>0</v>
      </c>
      <c r="N253" s="481">
        <f t="shared" si="11"/>
        <v>0</v>
      </c>
    </row>
    <row r="254" spans="1:14">
      <c r="A254" s="111">
        <v>250</v>
      </c>
      <c r="B254" s="111" t="s">
        <v>1011</v>
      </c>
      <c r="C254" s="111" t="s">
        <v>1044</v>
      </c>
      <c r="D254" s="111" t="s">
        <v>1530</v>
      </c>
      <c r="E254" s="111" t="s">
        <v>1166</v>
      </c>
      <c r="F254" s="111" t="s">
        <v>1048</v>
      </c>
      <c r="G254" s="111" t="s">
        <v>1167</v>
      </c>
      <c r="H254" s="172">
        <v>182445</v>
      </c>
      <c r="I254" s="172">
        <f t="shared" si="9"/>
        <v>200689.50000000003</v>
      </c>
      <c r="J254" s="111"/>
      <c r="L254" s="41">
        <v>182445</v>
      </c>
      <c r="M254" s="118">
        <f t="shared" si="10"/>
        <v>0</v>
      </c>
      <c r="N254" s="481">
        <f t="shared" si="11"/>
        <v>0</v>
      </c>
    </row>
    <row r="255" spans="1:14">
      <c r="A255" s="111">
        <v>251</v>
      </c>
      <c r="B255" s="111" t="s">
        <v>1011</v>
      </c>
      <c r="C255" s="111" t="s">
        <v>1044</v>
      </c>
      <c r="D255" s="111" t="s">
        <v>1530</v>
      </c>
      <c r="E255" s="111" t="s">
        <v>1168</v>
      </c>
      <c r="F255" s="111" t="s">
        <v>1051</v>
      </c>
      <c r="G255" s="111" t="s">
        <v>1169</v>
      </c>
      <c r="H255" s="172">
        <v>182445</v>
      </c>
      <c r="I255" s="172">
        <f t="shared" si="9"/>
        <v>200689.50000000003</v>
      </c>
      <c r="J255" s="111"/>
      <c r="L255" s="41">
        <v>182445</v>
      </c>
      <c r="M255" s="118">
        <f t="shared" si="10"/>
        <v>0</v>
      </c>
      <c r="N255" s="481">
        <f t="shared" si="11"/>
        <v>0</v>
      </c>
    </row>
    <row r="256" spans="1:14">
      <c r="A256" s="111">
        <v>252</v>
      </c>
      <c r="B256" s="111" t="s">
        <v>1011</v>
      </c>
      <c r="C256" s="111" t="s">
        <v>1044</v>
      </c>
      <c r="D256" s="111" t="s">
        <v>1530</v>
      </c>
      <c r="E256" s="111" t="s">
        <v>1170</v>
      </c>
      <c r="F256" s="111" t="s">
        <v>1054</v>
      </c>
      <c r="G256" s="111" t="s">
        <v>1171</v>
      </c>
      <c r="H256" s="172">
        <v>182445</v>
      </c>
      <c r="I256" s="172">
        <f t="shared" si="9"/>
        <v>200689.50000000003</v>
      </c>
      <c r="J256" s="111"/>
      <c r="L256" s="41">
        <v>182445</v>
      </c>
      <c r="M256" s="118">
        <f t="shared" si="10"/>
        <v>0</v>
      </c>
      <c r="N256" s="481">
        <f t="shared" si="11"/>
        <v>0</v>
      </c>
    </row>
    <row r="257" spans="1:14">
      <c r="A257" s="111">
        <v>253</v>
      </c>
      <c r="B257" s="111" t="s">
        <v>1011</v>
      </c>
      <c r="C257" s="111" t="s">
        <v>1044</v>
      </c>
      <c r="D257" s="111" t="s">
        <v>1530</v>
      </c>
      <c r="E257" s="111" t="s">
        <v>1172</v>
      </c>
      <c r="F257" s="111" t="s">
        <v>1057</v>
      </c>
      <c r="G257" s="111" t="s">
        <v>1173</v>
      </c>
      <c r="H257" s="172">
        <v>182445</v>
      </c>
      <c r="I257" s="172">
        <f t="shared" si="9"/>
        <v>200689.50000000003</v>
      </c>
      <c r="J257" s="111"/>
      <c r="L257" s="41">
        <v>182445</v>
      </c>
      <c r="M257" s="118">
        <f t="shared" si="10"/>
        <v>0</v>
      </c>
      <c r="N257" s="481">
        <f t="shared" si="11"/>
        <v>0</v>
      </c>
    </row>
    <row r="258" spans="1:14">
      <c r="A258" s="111">
        <v>254</v>
      </c>
      <c r="B258" s="111" t="s">
        <v>1011</v>
      </c>
      <c r="C258" s="111" t="s">
        <v>1044</v>
      </c>
      <c r="D258" s="111" t="s">
        <v>1530</v>
      </c>
      <c r="E258" s="111" t="s">
        <v>1174</v>
      </c>
      <c r="F258" s="111" t="s">
        <v>1013</v>
      </c>
      <c r="G258" s="111" t="s">
        <v>1175</v>
      </c>
      <c r="H258" s="172">
        <v>182445</v>
      </c>
      <c r="I258" s="172">
        <f t="shared" si="9"/>
        <v>200689.50000000003</v>
      </c>
      <c r="J258" s="111"/>
      <c r="L258" s="41">
        <v>182445</v>
      </c>
      <c r="M258" s="118">
        <f t="shared" si="10"/>
        <v>0</v>
      </c>
      <c r="N258" s="481">
        <f t="shared" si="11"/>
        <v>0</v>
      </c>
    </row>
    <row r="259" spans="1:14">
      <c r="A259" s="111">
        <v>255</v>
      </c>
      <c r="B259" s="111" t="s">
        <v>1011</v>
      </c>
      <c r="C259" s="111" t="s">
        <v>1044</v>
      </c>
      <c r="D259" s="111" t="s">
        <v>1530</v>
      </c>
      <c r="E259" s="111" t="s">
        <v>1176</v>
      </c>
      <c r="F259" s="111" t="s">
        <v>1016</v>
      </c>
      <c r="G259" s="111" t="s">
        <v>1177</v>
      </c>
      <c r="H259" s="172">
        <v>182445</v>
      </c>
      <c r="I259" s="172">
        <f t="shared" si="9"/>
        <v>200689.50000000003</v>
      </c>
      <c r="J259" s="111"/>
      <c r="L259" s="41">
        <v>182445</v>
      </c>
      <c r="M259" s="118">
        <f t="shared" si="10"/>
        <v>0</v>
      </c>
      <c r="N259" s="481">
        <f t="shared" si="11"/>
        <v>0</v>
      </c>
    </row>
    <row r="260" spans="1:14">
      <c r="A260" s="111">
        <v>256</v>
      </c>
      <c r="B260" s="111" t="s">
        <v>1011</v>
      </c>
      <c r="C260" s="111" t="s">
        <v>1044</v>
      </c>
      <c r="D260" s="111" t="s">
        <v>1530</v>
      </c>
      <c r="E260" s="111" t="s">
        <v>1178</v>
      </c>
      <c r="F260" s="111" t="s">
        <v>1018</v>
      </c>
      <c r="G260" s="111" t="s">
        <v>1179</v>
      </c>
      <c r="H260" s="172">
        <v>182445</v>
      </c>
      <c r="I260" s="172">
        <f t="shared" si="9"/>
        <v>200689.50000000003</v>
      </c>
      <c r="J260" s="111"/>
      <c r="L260" s="41">
        <v>182445</v>
      </c>
      <c r="M260" s="118">
        <f t="shared" si="10"/>
        <v>0</v>
      </c>
      <c r="N260" s="481">
        <f t="shared" si="11"/>
        <v>0</v>
      </c>
    </row>
    <row r="261" spans="1:14">
      <c r="A261" s="111">
        <v>257</v>
      </c>
      <c r="B261" s="111" t="s">
        <v>1011</v>
      </c>
      <c r="C261" s="111" t="s">
        <v>1044</v>
      </c>
      <c r="D261" s="111" t="s">
        <v>1530</v>
      </c>
      <c r="E261" s="111" t="s">
        <v>1180</v>
      </c>
      <c r="F261" s="111" t="s">
        <v>1020</v>
      </c>
      <c r="G261" s="111" t="s">
        <v>1181</v>
      </c>
      <c r="H261" s="172">
        <v>182445</v>
      </c>
      <c r="I261" s="172">
        <f t="shared" ref="I261:I324" si="12">IF(D261="Y",H261*$I$3,H261*$J$3)</f>
        <v>200689.50000000003</v>
      </c>
      <c r="J261" s="111"/>
      <c r="L261" s="41">
        <v>182445</v>
      </c>
      <c r="M261" s="118">
        <f t="shared" si="10"/>
        <v>0</v>
      </c>
      <c r="N261" s="481">
        <f t="shared" si="11"/>
        <v>0</v>
      </c>
    </row>
    <row r="262" spans="1:14">
      <c r="A262" s="111">
        <v>258</v>
      </c>
      <c r="B262" s="111" t="s">
        <v>1011</v>
      </c>
      <c r="C262" s="111" t="s">
        <v>1044</v>
      </c>
      <c r="D262" s="111" t="s">
        <v>1530</v>
      </c>
      <c r="E262" s="111" t="s">
        <v>1182</v>
      </c>
      <c r="F262" s="111" t="s">
        <v>1013</v>
      </c>
      <c r="G262" s="111" t="s">
        <v>1183</v>
      </c>
      <c r="H262" s="172">
        <v>182445</v>
      </c>
      <c r="I262" s="172">
        <f t="shared" si="12"/>
        <v>200689.50000000003</v>
      </c>
      <c r="J262" s="111"/>
      <c r="L262" s="41">
        <v>182445</v>
      </c>
      <c r="M262" s="118">
        <f t="shared" ref="M262:M325" si="13">L262-H262</f>
        <v>0</v>
      </c>
      <c r="N262" s="481">
        <f t="shared" ref="N262:N325" si="14">M262/H262</f>
        <v>0</v>
      </c>
    </row>
    <row r="263" spans="1:14">
      <c r="A263" s="111">
        <v>259</v>
      </c>
      <c r="B263" s="111" t="s">
        <v>1011</v>
      </c>
      <c r="C263" s="111" t="s">
        <v>1044</v>
      </c>
      <c r="D263" s="111" t="s">
        <v>1530</v>
      </c>
      <c r="E263" s="111" t="s">
        <v>1184</v>
      </c>
      <c r="F263" s="111" t="s">
        <v>1016</v>
      </c>
      <c r="G263" s="111" t="s">
        <v>1185</v>
      </c>
      <c r="H263" s="172">
        <v>182445</v>
      </c>
      <c r="I263" s="172">
        <f t="shared" si="12"/>
        <v>200689.50000000003</v>
      </c>
      <c r="J263" s="111"/>
      <c r="L263" s="41">
        <v>182445</v>
      </c>
      <c r="M263" s="118">
        <f t="shared" si="13"/>
        <v>0</v>
      </c>
      <c r="N263" s="481">
        <f t="shared" si="14"/>
        <v>0</v>
      </c>
    </row>
    <row r="264" spans="1:14">
      <c r="A264" s="111">
        <v>260</v>
      </c>
      <c r="B264" s="111" t="s">
        <v>1011</v>
      </c>
      <c r="C264" s="111" t="s">
        <v>1044</v>
      </c>
      <c r="D264" s="111" t="s">
        <v>1530</v>
      </c>
      <c r="E264" s="111" t="s">
        <v>1186</v>
      </c>
      <c r="F264" s="111" t="s">
        <v>1018</v>
      </c>
      <c r="G264" s="111" t="s">
        <v>1187</v>
      </c>
      <c r="H264" s="172">
        <v>182445</v>
      </c>
      <c r="I264" s="172">
        <f t="shared" si="12"/>
        <v>200689.50000000003</v>
      </c>
      <c r="J264" s="111"/>
      <c r="L264" s="41">
        <v>182445</v>
      </c>
      <c r="M264" s="118">
        <f t="shared" si="13"/>
        <v>0</v>
      </c>
      <c r="N264" s="481">
        <f t="shared" si="14"/>
        <v>0</v>
      </c>
    </row>
    <row r="265" spans="1:14">
      <c r="A265" s="111">
        <v>261</v>
      </c>
      <c r="B265" s="111" t="s">
        <v>1011</v>
      </c>
      <c r="C265" s="111" t="s">
        <v>1044</v>
      </c>
      <c r="D265" s="111" t="s">
        <v>1530</v>
      </c>
      <c r="E265" s="111" t="s">
        <v>1188</v>
      </c>
      <c r="F265" s="111" t="s">
        <v>1020</v>
      </c>
      <c r="G265" s="111" t="s">
        <v>1189</v>
      </c>
      <c r="H265" s="172">
        <v>182445</v>
      </c>
      <c r="I265" s="172">
        <f t="shared" si="12"/>
        <v>200689.50000000003</v>
      </c>
      <c r="J265" s="111"/>
      <c r="L265" s="41">
        <v>182445</v>
      </c>
      <c r="M265" s="118">
        <f t="shared" si="13"/>
        <v>0</v>
      </c>
      <c r="N265" s="481">
        <f t="shared" si="14"/>
        <v>0</v>
      </c>
    </row>
    <row r="266" spans="1:14">
      <c r="A266" s="111">
        <v>262</v>
      </c>
      <c r="B266" s="111" t="s">
        <v>1011</v>
      </c>
      <c r="C266" s="111" t="s">
        <v>1044</v>
      </c>
      <c r="D266" s="111" t="s">
        <v>1530</v>
      </c>
      <c r="E266" s="111" t="s">
        <v>1190</v>
      </c>
      <c r="F266" s="111" t="s">
        <v>1013</v>
      </c>
      <c r="G266" s="111" t="s">
        <v>1191</v>
      </c>
      <c r="H266" s="172">
        <v>182445</v>
      </c>
      <c r="I266" s="172">
        <f t="shared" si="12"/>
        <v>200689.50000000003</v>
      </c>
      <c r="J266" s="111"/>
      <c r="L266" s="41">
        <v>182445</v>
      </c>
      <c r="M266" s="118">
        <f t="shared" si="13"/>
        <v>0</v>
      </c>
      <c r="N266" s="481">
        <f t="shared" si="14"/>
        <v>0</v>
      </c>
    </row>
    <row r="267" spans="1:14">
      <c r="A267" s="111">
        <v>263</v>
      </c>
      <c r="B267" s="111" t="s">
        <v>1011</v>
      </c>
      <c r="C267" s="111" t="s">
        <v>1044</v>
      </c>
      <c r="D267" s="111" t="s">
        <v>1530</v>
      </c>
      <c r="E267" s="111" t="s">
        <v>1192</v>
      </c>
      <c r="F267" s="111" t="s">
        <v>1016</v>
      </c>
      <c r="G267" s="111" t="s">
        <v>1193</v>
      </c>
      <c r="H267" s="172">
        <v>182445</v>
      </c>
      <c r="I267" s="172">
        <f t="shared" si="12"/>
        <v>200689.50000000003</v>
      </c>
      <c r="J267" s="111"/>
      <c r="L267" s="41">
        <v>182445</v>
      </c>
      <c r="M267" s="118">
        <f t="shared" si="13"/>
        <v>0</v>
      </c>
      <c r="N267" s="481">
        <f t="shared" si="14"/>
        <v>0</v>
      </c>
    </row>
    <row r="268" spans="1:14">
      <c r="A268" s="111">
        <v>264</v>
      </c>
      <c r="B268" s="111" t="s">
        <v>1011</v>
      </c>
      <c r="C268" s="111" t="s">
        <v>1044</v>
      </c>
      <c r="D268" s="111" t="s">
        <v>1530</v>
      </c>
      <c r="E268" s="111" t="s">
        <v>1194</v>
      </c>
      <c r="F268" s="111" t="s">
        <v>1018</v>
      </c>
      <c r="G268" s="111" t="s">
        <v>1195</v>
      </c>
      <c r="H268" s="172">
        <v>182445</v>
      </c>
      <c r="I268" s="172">
        <f t="shared" si="12"/>
        <v>200689.50000000003</v>
      </c>
      <c r="J268" s="111"/>
      <c r="L268" s="41">
        <v>182445</v>
      </c>
      <c r="M268" s="118">
        <f t="shared" si="13"/>
        <v>0</v>
      </c>
      <c r="N268" s="481">
        <f t="shared" si="14"/>
        <v>0</v>
      </c>
    </row>
    <row r="269" spans="1:14">
      <c r="A269" s="111">
        <v>265</v>
      </c>
      <c r="B269" s="111" t="s">
        <v>1011</v>
      </c>
      <c r="C269" s="111" t="s">
        <v>1044</v>
      </c>
      <c r="D269" s="111" t="s">
        <v>1530</v>
      </c>
      <c r="E269" s="111" t="s">
        <v>1196</v>
      </c>
      <c r="F269" s="111" t="s">
        <v>1020</v>
      </c>
      <c r="G269" s="111" t="s">
        <v>1197</v>
      </c>
      <c r="H269" s="172">
        <v>182445</v>
      </c>
      <c r="I269" s="172">
        <f t="shared" si="12"/>
        <v>200689.50000000003</v>
      </c>
      <c r="J269" s="111"/>
      <c r="L269" s="41">
        <v>182445</v>
      </c>
      <c r="M269" s="118">
        <f t="shared" si="13"/>
        <v>0</v>
      </c>
      <c r="N269" s="481">
        <f t="shared" si="14"/>
        <v>0</v>
      </c>
    </row>
    <row r="270" spans="1:14">
      <c r="A270" s="111">
        <v>266</v>
      </c>
      <c r="B270" s="111" t="s">
        <v>1011</v>
      </c>
      <c r="C270" s="111" t="s">
        <v>1044</v>
      </c>
      <c r="D270" s="111" t="s">
        <v>1530</v>
      </c>
      <c r="E270" s="111" t="s">
        <v>1198</v>
      </c>
      <c r="F270" s="111" t="s">
        <v>1013</v>
      </c>
      <c r="G270" s="111" t="s">
        <v>1199</v>
      </c>
      <c r="H270" s="172">
        <v>182445</v>
      </c>
      <c r="I270" s="172">
        <f t="shared" si="12"/>
        <v>200689.50000000003</v>
      </c>
      <c r="J270" s="111"/>
      <c r="L270" s="41">
        <v>182445</v>
      </c>
      <c r="M270" s="118">
        <f t="shared" si="13"/>
        <v>0</v>
      </c>
      <c r="N270" s="481">
        <f t="shared" si="14"/>
        <v>0</v>
      </c>
    </row>
    <row r="271" spans="1:14">
      <c r="A271" s="111">
        <v>267</v>
      </c>
      <c r="B271" s="111" t="s">
        <v>1011</v>
      </c>
      <c r="C271" s="111" t="s">
        <v>1044</v>
      </c>
      <c r="D271" s="111" t="s">
        <v>1530</v>
      </c>
      <c r="E271" s="111" t="s">
        <v>1200</v>
      </c>
      <c r="F271" s="111" t="s">
        <v>1016</v>
      </c>
      <c r="G271" s="111" t="s">
        <v>1201</v>
      </c>
      <c r="H271" s="172">
        <v>182445</v>
      </c>
      <c r="I271" s="172">
        <f t="shared" si="12"/>
        <v>200689.50000000003</v>
      </c>
      <c r="J271" s="111"/>
      <c r="L271" s="41">
        <v>182445</v>
      </c>
      <c r="M271" s="118">
        <f t="shared" si="13"/>
        <v>0</v>
      </c>
      <c r="N271" s="481">
        <f t="shared" si="14"/>
        <v>0</v>
      </c>
    </row>
    <row r="272" spans="1:14">
      <c r="A272" s="111">
        <v>268</v>
      </c>
      <c r="B272" s="111" t="s">
        <v>1011</v>
      </c>
      <c r="C272" s="111" t="s">
        <v>1044</v>
      </c>
      <c r="D272" s="111" t="s">
        <v>1530</v>
      </c>
      <c r="E272" s="111" t="s">
        <v>1202</v>
      </c>
      <c r="F272" s="111" t="s">
        <v>1018</v>
      </c>
      <c r="G272" s="111" t="s">
        <v>1203</v>
      </c>
      <c r="H272" s="172">
        <v>182445</v>
      </c>
      <c r="I272" s="172">
        <f t="shared" si="12"/>
        <v>200689.50000000003</v>
      </c>
      <c r="J272" s="111"/>
      <c r="L272" s="41">
        <v>182445</v>
      </c>
      <c r="M272" s="118">
        <f t="shared" si="13"/>
        <v>0</v>
      </c>
      <c r="N272" s="481">
        <f t="shared" si="14"/>
        <v>0</v>
      </c>
    </row>
    <row r="273" spans="1:14">
      <c r="A273" s="111">
        <v>269</v>
      </c>
      <c r="B273" s="111" t="s">
        <v>1011</v>
      </c>
      <c r="C273" s="111" t="s">
        <v>1044</v>
      </c>
      <c r="D273" s="111" t="s">
        <v>1530</v>
      </c>
      <c r="E273" s="111" t="s">
        <v>1204</v>
      </c>
      <c r="F273" s="111" t="s">
        <v>1020</v>
      </c>
      <c r="G273" s="111" t="s">
        <v>1205</v>
      </c>
      <c r="H273" s="172">
        <v>182445</v>
      </c>
      <c r="I273" s="172">
        <f t="shared" si="12"/>
        <v>200689.50000000003</v>
      </c>
      <c r="J273" s="111"/>
      <c r="L273" s="41">
        <v>182445</v>
      </c>
      <c r="M273" s="118">
        <f t="shared" si="13"/>
        <v>0</v>
      </c>
      <c r="N273" s="481">
        <f t="shared" si="14"/>
        <v>0</v>
      </c>
    </row>
    <row r="274" spans="1:14">
      <c r="A274" s="111">
        <v>270</v>
      </c>
      <c r="B274" s="111" t="s">
        <v>1011</v>
      </c>
      <c r="C274" s="111" t="s">
        <v>1044</v>
      </c>
      <c r="D274" s="111" t="s">
        <v>1530</v>
      </c>
      <c r="E274" s="111" t="s">
        <v>1206</v>
      </c>
      <c r="F274" s="111" t="s">
        <v>1013</v>
      </c>
      <c r="G274" s="111" t="s">
        <v>1207</v>
      </c>
      <c r="H274" s="172">
        <v>182445</v>
      </c>
      <c r="I274" s="172">
        <f t="shared" si="12"/>
        <v>200689.50000000003</v>
      </c>
      <c r="J274" s="111"/>
      <c r="L274" s="41">
        <v>182445</v>
      </c>
      <c r="M274" s="118">
        <f t="shared" si="13"/>
        <v>0</v>
      </c>
      <c r="N274" s="481">
        <f t="shared" si="14"/>
        <v>0</v>
      </c>
    </row>
    <row r="275" spans="1:14">
      <c r="A275" s="111">
        <v>271</v>
      </c>
      <c r="B275" s="111" t="s">
        <v>1011</v>
      </c>
      <c r="C275" s="111" t="s">
        <v>1044</v>
      </c>
      <c r="D275" s="111" t="s">
        <v>1530</v>
      </c>
      <c r="E275" s="111" t="s">
        <v>1208</v>
      </c>
      <c r="F275" s="111" t="s">
        <v>1016</v>
      </c>
      <c r="G275" s="111" t="s">
        <v>1209</v>
      </c>
      <c r="H275" s="172">
        <v>182445</v>
      </c>
      <c r="I275" s="172">
        <f t="shared" si="12"/>
        <v>200689.50000000003</v>
      </c>
      <c r="J275" s="111"/>
      <c r="L275" s="41">
        <v>182445</v>
      </c>
      <c r="M275" s="118">
        <f t="shared" si="13"/>
        <v>0</v>
      </c>
      <c r="N275" s="481">
        <f t="shared" si="14"/>
        <v>0</v>
      </c>
    </row>
    <row r="276" spans="1:14">
      <c r="A276" s="111">
        <v>272</v>
      </c>
      <c r="B276" s="111" t="s">
        <v>1011</v>
      </c>
      <c r="C276" s="111" t="s">
        <v>1044</v>
      </c>
      <c r="D276" s="111" t="s">
        <v>1530</v>
      </c>
      <c r="E276" s="111" t="s">
        <v>1210</v>
      </c>
      <c r="F276" s="111" t="s">
        <v>1018</v>
      </c>
      <c r="G276" s="111" t="s">
        <v>1211</v>
      </c>
      <c r="H276" s="172">
        <v>182445</v>
      </c>
      <c r="I276" s="172">
        <f t="shared" si="12"/>
        <v>200689.50000000003</v>
      </c>
      <c r="J276" s="111"/>
      <c r="L276" s="41">
        <v>182445</v>
      </c>
      <c r="M276" s="118">
        <f t="shared" si="13"/>
        <v>0</v>
      </c>
      <c r="N276" s="481">
        <f t="shared" si="14"/>
        <v>0</v>
      </c>
    </row>
    <row r="277" spans="1:14">
      <c r="A277" s="111">
        <v>273</v>
      </c>
      <c r="B277" s="111" t="s">
        <v>1011</v>
      </c>
      <c r="C277" s="111" t="s">
        <v>1044</v>
      </c>
      <c r="D277" s="111" t="s">
        <v>1530</v>
      </c>
      <c r="E277" s="111" t="s">
        <v>1212</v>
      </c>
      <c r="F277" s="111" t="s">
        <v>1020</v>
      </c>
      <c r="G277" s="111" t="s">
        <v>1213</v>
      </c>
      <c r="H277" s="172">
        <v>182445</v>
      </c>
      <c r="I277" s="172">
        <f t="shared" si="12"/>
        <v>200689.50000000003</v>
      </c>
      <c r="J277" s="111"/>
      <c r="L277" s="41">
        <v>182445</v>
      </c>
      <c r="M277" s="118">
        <f t="shared" si="13"/>
        <v>0</v>
      </c>
      <c r="N277" s="481">
        <f t="shared" si="14"/>
        <v>0</v>
      </c>
    </row>
    <row r="278" spans="1:14">
      <c r="A278" s="111">
        <v>274</v>
      </c>
      <c r="B278" s="111" t="s">
        <v>1011</v>
      </c>
      <c r="C278" s="111" t="s">
        <v>1044</v>
      </c>
      <c r="D278" s="111" t="s">
        <v>1530</v>
      </c>
      <c r="E278" s="111" t="s">
        <v>1214</v>
      </c>
      <c r="F278" s="111" t="s">
        <v>1013</v>
      </c>
      <c r="G278" s="111" t="s">
        <v>1215</v>
      </c>
      <c r="H278" s="172">
        <v>182445</v>
      </c>
      <c r="I278" s="172">
        <f t="shared" si="12"/>
        <v>200689.50000000003</v>
      </c>
      <c r="J278" s="111"/>
      <c r="L278" s="41">
        <v>182445</v>
      </c>
      <c r="M278" s="118">
        <f t="shared" si="13"/>
        <v>0</v>
      </c>
      <c r="N278" s="481">
        <f t="shared" si="14"/>
        <v>0</v>
      </c>
    </row>
    <row r="279" spans="1:14">
      <c r="A279" s="111">
        <v>275</v>
      </c>
      <c r="B279" s="111" t="s">
        <v>1011</v>
      </c>
      <c r="C279" s="111" t="s">
        <v>1044</v>
      </c>
      <c r="D279" s="111" t="s">
        <v>1530</v>
      </c>
      <c r="E279" s="111" t="s">
        <v>1216</v>
      </c>
      <c r="F279" s="111" t="s">
        <v>1016</v>
      </c>
      <c r="G279" s="111" t="s">
        <v>1217</v>
      </c>
      <c r="H279" s="172">
        <v>182445</v>
      </c>
      <c r="I279" s="172">
        <f t="shared" si="12"/>
        <v>200689.50000000003</v>
      </c>
      <c r="J279" s="111"/>
      <c r="L279" s="41">
        <v>182445</v>
      </c>
      <c r="M279" s="118">
        <f t="shared" si="13"/>
        <v>0</v>
      </c>
      <c r="N279" s="481">
        <f t="shared" si="14"/>
        <v>0</v>
      </c>
    </row>
    <row r="280" spans="1:14">
      <c r="A280" s="111">
        <v>276</v>
      </c>
      <c r="B280" s="111" t="s">
        <v>1011</v>
      </c>
      <c r="C280" s="111" t="s">
        <v>1044</v>
      </c>
      <c r="D280" s="111" t="s">
        <v>1530</v>
      </c>
      <c r="E280" s="111" t="s">
        <v>1218</v>
      </c>
      <c r="F280" s="111" t="s">
        <v>1018</v>
      </c>
      <c r="G280" s="111" t="s">
        <v>1219</v>
      </c>
      <c r="H280" s="172">
        <v>182445</v>
      </c>
      <c r="I280" s="172">
        <f t="shared" si="12"/>
        <v>200689.50000000003</v>
      </c>
      <c r="J280" s="111"/>
      <c r="L280" s="41">
        <v>182445</v>
      </c>
      <c r="M280" s="118">
        <f t="shared" si="13"/>
        <v>0</v>
      </c>
      <c r="N280" s="481">
        <f t="shared" si="14"/>
        <v>0</v>
      </c>
    </row>
    <row r="281" spans="1:14">
      <c r="A281" s="111">
        <v>277</v>
      </c>
      <c r="B281" s="111" t="s">
        <v>1011</v>
      </c>
      <c r="C281" s="111" t="s">
        <v>1044</v>
      </c>
      <c r="D281" s="111" t="s">
        <v>1530</v>
      </c>
      <c r="E281" s="111" t="s">
        <v>1220</v>
      </c>
      <c r="F281" s="111" t="s">
        <v>1020</v>
      </c>
      <c r="G281" s="111" t="s">
        <v>1221</v>
      </c>
      <c r="H281" s="172">
        <v>182445</v>
      </c>
      <c r="I281" s="172">
        <f t="shared" si="12"/>
        <v>200689.50000000003</v>
      </c>
      <c r="J281" s="111"/>
      <c r="L281" s="41">
        <v>182445</v>
      </c>
      <c r="M281" s="118">
        <f t="shared" si="13"/>
        <v>0</v>
      </c>
      <c r="N281" s="481">
        <f t="shared" si="14"/>
        <v>0</v>
      </c>
    </row>
    <row r="282" spans="1:14">
      <c r="A282" s="111">
        <v>278</v>
      </c>
      <c r="B282" s="111" t="s">
        <v>1011</v>
      </c>
      <c r="C282" s="111" t="s">
        <v>1044</v>
      </c>
      <c r="D282" s="111" t="s">
        <v>1530</v>
      </c>
      <c r="E282" s="111" t="s">
        <v>1222</v>
      </c>
      <c r="F282" s="111" t="s">
        <v>1013</v>
      </c>
      <c r="G282" s="111" t="s">
        <v>1223</v>
      </c>
      <c r="H282" s="172">
        <v>182445</v>
      </c>
      <c r="I282" s="172">
        <f t="shared" si="12"/>
        <v>200689.50000000003</v>
      </c>
      <c r="J282" s="111"/>
      <c r="L282" s="41">
        <v>182445</v>
      </c>
      <c r="M282" s="118">
        <f t="shared" si="13"/>
        <v>0</v>
      </c>
      <c r="N282" s="481">
        <f t="shared" si="14"/>
        <v>0</v>
      </c>
    </row>
    <row r="283" spans="1:14">
      <c r="A283" s="111">
        <v>279</v>
      </c>
      <c r="B283" s="111" t="s">
        <v>1011</v>
      </c>
      <c r="C283" s="111" t="s">
        <v>1044</v>
      </c>
      <c r="D283" s="111" t="s">
        <v>1530</v>
      </c>
      <c r="E283" s="111" t="s">
        <v>1224</v>
      </c>
      <c r="F283" s="111" t="s">
        <v>1016</v>
      </c>
      <c r="G283" s="111" t="s">
        <v>1225</v>
      </c>
      <c r="H283" s="172">
        <v>182445</v>
      </c>
      <c r="I283" s="172">
        <f t="shared" si="12"/>
        <v>200689.50000000003</v>
      </c>
      <c r="J283" s="111"/>
      <c r="L283" s="41">
        <v>182445</v>
      </c>
      <c r="M283" s="118">
        <f t="shared" si="13"/>
        <v>0</v>
      </c>
      <c r="N283" s="481">
        <f t="shared" si="14"/>
        <v>0</v>
      </c>
    </row>
    <row r="284" spans="1:14">
      <c r="A284" s="111">
        <v>280</v>
      </c>
      <c r="B284" s="111" t="s">
        <v>1011</v>
      </c>
      <c r="C284" s="111" t="s">
        <v>1044</v>
      </c>
      <c r="D284" s="111" t="s">
        <v>1530</v>
      </c>
      <c r="E284" s="111" t="s">
        <v>1226</v>
      </c>
      <c r="F284" s="111" t="s">
        <v>1018</v>
      </c>
      <c r="G284" s="111" t="s">
        <v>1227</v>
      </c>
      <c r="H284" s="172">
        <v>182445</v>
      </c>
      <c r="I284" s="172">
        <f t="shared" si="12"/>
        <v>200689.50000000003</v>
      </c>
      <c r="J284" s="111"/>
      <c r="L284" s="41">
        <v>182445</v>
      </c>
      <c r="M284" s="118">
        <f t="shared" si="13"/>
        <v>0</v>
      </c>
      <c r="N284" s="481">
        <f t="shared" si="14"/>
        <v>0</v>
      </c>
    </row>
    <row r="285" spans="1:14">
      <c r="A285" s="111">
        <v>281</v>
      </c>
      <c r="B285" s="111" t="s">
        <v>1011</v>
      </c>
      <c r="C285" s="111" t="s">
        <v>1044</v>
      </c>
      <c r="D285" s="111" t="s">
        <v>1530</v>
      </c>
      <c r="E285" s="111" t="s">
        <v>1228</v>
      </c>
      <c r="F285" s="111" t="s">
        <v>1020</v>
      </c>
      <c r="G285" s="111" t="s">
        <v>1229</v>
      </c>
      <c r="H285" s="172">
        <v>182445</v>
      </c>
      <c r="I285" s="172">
        <f t="shared" si="12"/>
        <v>200689.50000000003</v>
      </c>
      <c r="J285" s="111"/>
      <c r="L285" s="41">
        <v>182445</v>
      </c>
      <c r="M285" s="118">
        <f t="shared" si="13"/>
        <v>0</v>
      </c>
      <c r="N285" s="481">
        <f t="shared" si="14"/>
        <v>0</v>
      </c>
    </row>
    <row r="286" spans="1:14">
      <c r="A286" s="111">
        <v>282</v>
      </c>
      <c r="B286" s="111" t="s">
        <v>1011</v>
      </c>
      <c r="C286" s="111" t="s">
        <v>1044</v>
      </c>
      <c r="D286" s="111" t="s">
        <v>1530</v>
      </c>
      <c r="E286" s="111" t="s">
        <v>1230</v>
      </c>
      <c r="F286" s="111" t="s">
        <v>1013</v>
      </c>
      <c r="G286" s="111" t="s">
        <v>1231</v>
      </c>
      <c r="H286" s="172">
        <v>182445</v>
      </c>
      <c r="I286" s="172">
        <f t="shared" si="12"/>
        <v>200689.50000000003</v>
      </c>
      <c r="J286" s="111"/>
      <c r="L286" s="41">
        <v>182445</v>
      </c>
      <c r="M286" s="118">
        <f t="shared" si="13"/>
        <v>0</v>
      </c>
      <c r="N286" s="481">
        <f t="shared" si="14"/>
        <v>0</v>
      </c>
    </row>
    <row r="287" spans="1:14">
      <c r="A287" s="111">
        <v>283</v>
      </c>
      <c r="B287" s="111" t="s">
        <v>1011</v>
      </c>
      <c r="C287" s="111" t="s">
        <v>1044</v>
      </c>
      <c r="D287" s="111" t="s">
        <v>1530</v>
      </c>
      <c r="E287" s="111" t="s">
        <v>1232</v>
      </c>
      <c r="F287" s="111" t="s">
        <v>1016</v>
      </c>
      <c r="G287" s="111" t="s">
        <v>1233</v>
      </c>
      <c r="H287" s="172">
        <v>182445</v>
      </c>
      <c r="I287" s="172">
        <f t="shared" si="12"/>
        <v>200689.50000000003</v>
      </c>
      <c r="J287" s="111"/>
      <c r="L287" s="41">
        <v>182445</v>
      </c>
      <c r="M287" s="118">
        <f t="shared" si="13"/>
        <v>0</v>
      </c>
      <c r="N287" s="481">
        <f t="shared" si="14"/>
        <v>0</v>
      </c>
    </row>
    <row r="288" spans="1:14">
      <c r="A288" s="111">
        <v>284</v>
      </c>
      <c r="B288" s="111" t="s">
        <v>1011</v>
      </c>
      <c r="C288" s="111" t="s">
        <v>1044</v>
      </c>
      <c r="D288" s="111" t="s">
        <v>1530</v>
      </c>
      <c r="E288" s="111" t="s">
        <v>1234</v>
      </c>
      <c r="F288" s="111" t="s">
        <v>1018</v>
      </c>
      <c r="G288" s="111" t="s">
        <v>1235</v>
      </c>
      <c r="H288" s="172">
        <v>182445</v>
      </c>
      <c r="I288" s="172">
        <f t="shared" si="12"/>
        <v>200689.50000000003</v>
      </c>
      <c r="J288" s="111"/>
      <c r="L288" s="41">
        <v>182445</v>
      </c>
      <c r="M288" s="118">
        <f t="shared" si="13"/>
        <v>0</v>
      </c>
      <c r="N288" s="481">
        <f t="shared" si="14"/>
        <v>0</v>
      </c>
    </row>
    <row r="289" spans="1:14">
      <c r="A289" s="111">
        <v>285</v>
      </c>
      <c r="B289" s="111" t="s">
        <v>1011</v>
      </c>
      <c r="C289" s="111" t="s">
        <v>1044</v>
      </c>
      <c r="D289" s="111" t="s">
        <v>1530</v>
      </c>
      <c r="E289" s="111" t="s">
        <v>1236</v>
      </c>
      <c r="F289" s="111" t="s">
        <v>1020</v>
      </c>
      <c r="G289" s="111" t="s">
        <v>1237</v>
      </c>
      <c r="H289" s="172">
        <v>182445</v>
      </c>
      <c r="I289" s="172">
        <f t="shared" si="12"/>
        <v>200689.50000000003</v>
      </c>
      <c r="J289" s="111"/>
      <c r="L289" s="41">
        <v>182445</v>
      </c>
      <c r="M289" s="118">
        <f t="shared" si="13"/>
        <v>0</v>
      </c>
      <c r="N289" s="481">
        <f t="shared" si="14"/>
        <v>0</v>
      </c>
    </row>
    <row r="290" spans="1:14">
      <c r="A290" s="111">
        <v>286</v>
      </c>
      <c r="B290" s="111" t="s">
        <v>1011</v>
      </c>
      <c r="C290" s="111" t="s">
        <v>1044</v>
      </c>
      <c r="D290" s="111" t="s">
        <v>1530</v>
      </c>
      <c r="E290" s="111" t="s">
        <v>1238</v>
      </c>
      <c r="F290" s="111" t="s">
        <v>1013</v>
      </c>
      <c r="G290" s="111"/>
      <c r="H290" s="172">
        <v>156344</v>
      </c>
      <c r="I290" s="172">
        <f t="shared" si="12"/>
        <v>171978.40000000002</v>
      </c>
      <c r="J290" s="111"/>
      <c r="L290" s="41">
        <f>VLOOKUP(E290,[3]단가!B$4:M$724,12,0)</f>
        <v>156344</v>
      </c>
      <c r="M290" s="118">
        <f t="shared" si="13"/>
        <v>0</v>
      </c>
      <c r="N290" s="481">
        <f t="shared" si="14"/>
        <v>0</v>
      </c>
    </row>
    <row r="291" spans="1:14">
      <c r="A291" s="111">
        <v>287</v>
      </c>
      <c r="B291" s="111" t="s">
        <v>1011</v>
      </c>
      <c r="C291" s="111" t="s">
        <v>1044</v>
      </c>
      <c r="D291" s="111" t="s">
        <v>1530</v>
      </c>
      <c r="E291" s="111" t="s">
        <v>1239</v>
      </c>
      <c r="F291" s="111" t="s">
        <v>1016</v>
      </c>
      <c r="G291" s="111"/>
      <c r="H291" s="172">
        <v>156344</v>
      </c>
      <c r="I291" s="172">
        <f t="shared" si="12"/>
        <v>171978.40000000002</v>
      </c>
      <c r="J291" s="111"/>
      <c r="L291" s="41">
        <f>VLOOKUP(E291,[3]단가!B$4:M$724,12,0)</f>
        <v>156344</v>
      </c>
      <c r="M291" s="118">
        <f t="shared" si="13"/>
        <v>0</v>
      </c>
      <c r="N291" s="481">
        <f t="shared" si="14"/>
        <v>0</v>
      </c>
    </row>
    <row r="292" spans="1:14">
      <c r="A292" s="111">
        <v>288</v>
      </c>
      <c r="B292" s="111" t="s">
        <v>1011</v>
      </c>
      <c r="C292" s="111" t="s">
        <v>1044</v>
      </c>
      <c r="D292" s="111" t="s">
        <v>1530</v>
      </c>
      <c r="E292" s="111" t="s">
        <v>1240</v>
      </c>
      <c r="F292" s="111" t="s">
        <v>1018</v>
      </c>
      <c r="G292" s="111"/>
      <c r="H292" s="172">
        <v>156344</v>
      </c>
      <c r="I292" s="172">
        <f t="shared" si="12"/>
        <v>171978.40000000002</v>
      </c>
      <c r="J292" s="111"/>
      <c r="L292" s="41">
        <f>VLOOKUP(E292,[3]단가!B$4:M$724,12,0)</f>
        <v>156344</v>
      </c>
      <c r="M292" s="118">
        <f t="shared" si="13"/>
        <v>0</v>
      </c>
      <c r="N292" s="481">
        <f t="shared" si="14"/>
        <v>0</v>
      </c>
    </row>
    <row r="293" spans="1:14">
      <c r="A293" s="111">
        <v>289</v>
      </c>
      <c r="B293" s="111" t="s">
        <v>1011</v>
      </c>
      <c r="C293" s="111" t="s">
        <v>1044</v>
      </c>
      <c r="D293" s="111" t="s">
        <v>1530</v>
      </c>
      <c r="E293" s="111" t="s">
        <v>1241</v>
      </c>
      <c r="F293" s="111" t="s">
        <v>1020</v>
      </c>
      <c r="G293" s="111"/>
      <c r="H293" s="172">
        <v>156344</v>
      </c>
      <c r="I293" s="172">
        <f t="shared" si="12"/>
        <v>171978.40000000002</v>
      </c>
      <c r="J293" s="111"/>
      <c r="L293" s="41">
        <f>VLOOKUP(E293,[3]단가!B$4:M$724,12,0)</f>
        <v>156344</v>
      </c>
      <c r="M293" s="118">
        <f t="shared" si="13"/>
        <v>0</v>
      </c>
      <c r="N293" s="481">
        <f t="shared" si="14"/>
        <v>0</v>
      </c>
    </row>
    <row r="294" spans="1:14">
      <c r="A294" s="111">
        <v>290</v>
      </c>
      <c r="B294" s="111" t="s">
        <v>1011</v>
      </c>
      <c r="C294" s="111" t="s">
        <v>167</v>
      </c>
      <c r="D294" s="111" t="s">
        <v>747</v>
      </c>
      <c r="E294" s="111" t="s">
        <v>1242</v>
      </c>
      <c r="F294" s="111" t="s">
        <v>167</v>
      </c>
      <c r="G294" s="111"/>
      <c r="H294" s="172">
        <v>28897</v>
      </c>
      <c r="I294" s="172">
        <f t="shared" si="12"/>
        <v>28897</v>
      </c>
      <c r="J294" s="111"/>
      <c r="L294" s="41">
        <f>VLOOKUP(E294,[3]단가!B$4:M$724,12,0)</f>
        <v>28897</v>
      </c>
      <c r="M294" s="118">
        <f t="shared" si="13"/>
        <v>0</v>
      </c>
      <c r="N294" s="481">
        <f t="shared" si="14"/>
        <v>0</v>
      </c>
    </row>
    <row r="295" spans="1:14">
      <c r="A295" s="111">
        <v>291</v>
      </c>
      <c r="B295" s="111" t="s">
        <v>745</v>
      </c>
      <c r="C295" s="111" t="s">
        <v>167</v>
      </c>
      <c r="D295" s="111" t="s">
        <v>747</v>
      </c>
      <c r="E295" s="111" t="s">
        <v>1243</v>
      </c>
      <c r="F295" s="111" t="s">
        <v>1244</v>
      </c>
      <c r="G295" s="111" t="s">
        <v>1245</v>
      </c>
      <c r="H295" s="191">
        <v>98455</v>
      </c>
      <c r="I295" s="172">
        <f t="shared" si="12"/>
        <v>98455</v>
      </c>
      <c r="J295" s="111"/>
      <c r="L295" s="41">
        <f>VLOOKUP(E295,[3]단가!B$4:M$724,12,0)</f>
        <v>98455</v>
      </c>
      <c r="M295" s="118">
        <f t="shared" si="13"/>
        <v>0</v>
      </c>
      <c r="N295" s="481">
        <f t="shared" si="14"/>
        <v>0</v>
      </c>
    </row>
    <row r="296" spans="1:14">
      <c r="A296" s="111">
        <v>292</v>
      </c>
      <c r="B296" s="111" t="s">
        <v>745</v>
      </c>
      <c r="C296" s="111" t="s">
        <v>1246</v>
      </c>
      <c r="D296" s="111" t="s">
        <v>1530</v>
      </c>
      <c r="E296" s="111" t="s">
        <v>1247</v>
      </c>
      <c r="F296" s="111" t="s">
        <v>1246</v>
      </c>
      <c r="G296" s="111"/>
      <c r="H296" s="172">
        <v>1153747</v>
      </c>
      <c r="I296" s="172">
        <f t="shared" si="12"/>
        <v>1269121.7000000002</v>
      </c>
      <c r="J296" s="111"/>
      <c r="L296" s="41">
        <f>VLOOKUP(E296,[3]단가!B$4:M$724,12,0)</f>
        <v>1153747</v>
      </c>
      <c r="M296" s="118">
        <f t="shared" si="13"/>
        <v>0</v>
      </c>
      <c r="N296" s="481">
        <f t="shared" si="14"/>
        <v>0</v>
      </c>
    </row>
    <row r="297" spans="1:14">
      <c r="A297" s="111">
        <v>293</v>
      </c>
      <c r="B297" s="111" t="s">
        <v>745</v>
      </c>
      <c r="C297" s="111" t="s">
        <v>1246</v>
      </c>
      <c r="D297" s="111" t="s">
        <v>1530</v>
      </c>
      <c r="E297" s="111" t="s">
        <v>1248</v>
      </c>
      <c r="F297" s="111" t="s">
        <v>1246</v>
      </c>
      <c r="G297" s="111"/>
      <c r="H297" s="172">
        <v>48078</v>
      </c>
      <c r="I297" s="172">
        <f t="shared" si="12"/>
        <v>52885.8</v>
      </c>
      <c r="J297" s="111"/>
      <c r="L297" s="41">
        <f>VLOOKUP(E297,[3]단가!B$4:M$724,12,0)</f>
        <v>48078</v>
      </c>
      <c r="M297" s="118">
        <f t="shared" si="13"/>
        <v>0</v>
      </c>
      <c r="N297" s="481">
        <f t="shared" si="14"/>
        <v>0</v>
      </c>
    </row>
    <row r="298" spans="1:14">
      <c r="A298" s="111">
        <v>294</v>
      </c>
      <c r="B298" s="111" t="s">
        <v>745</v>
      </c>
      <c r="C298" s="111" t="s">
        <v>1246</v>
      </c>
      <c r="D298" s="111" t="s">
        <v>1530</v>
      </c>
      <c r="E298" s="111" t="s">
        <v>1249</v>
      </c>
      <c r="F298" s="111" t="s">
        <v>1250</v>
      </c>
      <c r="G298" s="111" t="s">
        <v>1251</v>
      </c>
      <c r="H298" s="191">
        <v>709346</v>
      </c>
      <c r="I298" s="172">
        <f t="shared" si="12"/>
        <v>780280.60000000009</v>
      </c>
      <c r="J298" s="111"/>
      <c r="L298" s="41">
        <f>VLOOKUP(E298,[3]단가!B$4:M$724,12,0)</f>
        <v>709346</v>
      </c>
      <c r="M298" s="118">
        <f t="shared" si="13"/>
        <v>0</v>
      </c>
      <c r="N298" s="481">
        <f t="shared" si="14"/>
        <v>0</v>
      </c>
    </row>
    <row r="299" spans="1:14">
      <c r="A299" s="111">
        <v>295</v>
      </c>
      <c r="B299" s="111" t="s">
        <v>745</v>
      </c>
      <c r="C299" s="111" t="s">
        <v>1246</v>
      </c>
      <c r="D299" s="111" t="s">
        <v>1530</v>
      </c>
      <c r="E299" s="111" t="s">
        <v>1252</v>
      </c>
      <c r="F299" s="111" t="s">
        <v>1250</v>
      </c>
      <c r="G299" s="111" t="s">
        <v>1253</v>
      </c>
      <c r="H299" s="191">
        <v>709346</v>
      </c>
      <c r="I299" s="172">
        <f t="shared" si="12"/>
        <v>780280.60000000009</v>
      </c>
      <c r="J299" s="111"/>
      <c r="L299" s="41">
        <f>VLOOKUP(E299,[3]단가!B$4:M$724,12,0)</f>
        <v>709346</v>
      </c>
      <c r="M299" s="118">
        <f t="shared" si="13"/>
        <v>0</v>
      </c>
      <c r="N299" s="481">
        <f t="shared" si="14"/>
        <v>0</v>
      </c>
    </row>
    <row r="300" spans="1:14">
      <c r="A300" s="111">
        <v>296</v>
      </c>
      <c r="B300" s="111" t="s">
        <v>745</v>
      </c>
      <c r="C300" s="111" t="s">
        <v>1246</v>
      </c>
      <c r="D300" s="111" t="s">
        <v>1530</v>
      </c>
      <c r="E300" s="111" t="s">
        <v>1254</v>
      </c>
      <c r="F300" s="111" t="s">
        <v>1250</v>
      </c>
      <c r="G300" s="111" t="s">
        <v>1255</v>
      </c>
      <c r="H300" s="191">
        <v>722100</v>
      </c>
      <c r="I300" s="172">
        <f t="shared" si="12"/>
        <v>794310.00000000012</v>
      </c>
      <c r="J300" s="111"/>
      <c r="L300" s="41">
        <f>VLOOKUP(E300,[3]단가!B$4:M$724,12,0)</f>
        <v>722100</v>
      </c>
      <c r="M300" s="118">
        <f t="shared" si="13"/>
        <v>0</v>
      </c>
      <c r="N300" s="481">
        <f t="shared" si="14"/>
        <v>0</v>
      </c>
    </row>
    <row r="301" spans="1:14">
      <c r="A301" s="111">
        <v>297</v>
      </c>
      <c r="B301" s="111" t="s">
        <v>745</v>
      </c>
      <c r="C301" s="111" t="s">
        <v>1246</v>
      </c>
      <c r="D301" s="111" t="s">
        <v>1530</v>
      </c>
      <c r="E301" s="111" t="s">
        <v>1256</v>
      </c>
      <c r="F301" s="111" t="s">
        <v>1250</v>
      </c>
      <c r="G301" s="111" t="s">
        <v>1257</v>
      </c>
      <c r="H301" s="191">
        <v>745938</v>
      </c>
      <c r="I301" s="172">
        <f t="shared" si="12"/>
        <v>820531.8</v>
      </c>
      <c r="J301" s="111"/>
      <c r="L301" s="41">
        <f>VLOOKUP(E301,[3]단가!B$4:M$724,12,0)</f>
        <v>745938</v>
      </c>
      <c r="M301" s="118">
        <f t="shared" si="13"/>
        <v>0</v>
      </c>
      <c r="N301" s="481">
        <f t="shared" si="14"/>
        <v>0</v>
      </c>
    </row>
    <row r="302" spans="1:14">
      <c r="A302" s="111">
        <v>298</v>
      </c>
      <c r="B302" s="111" t="s">
        <v>745</v>
      </c>
      <c r="C302" s="111" t="s">
        <v>1246</v>
      </c>
      <c r="D302" s="111" t="s">
        <v>1530</v>
      </c>
      <c r="E302" s="111" t="s">
        <v>1258</v>
      </c>
      <c r="F302" s="111" t="s">
        <v>1250</v>
      </c>
      <c r="G302" s="111" t="s">
        <v>1259</v>
      </c>
      <c r="H302" s="191">
        <v>722100</v>
      </c>
      <c r="I302" s="172">
        <f t="shared" si="12"/>
        <v>794310.00000000012</v>
      </c>
      <c r="J302" s="111"/>
      <c r="L302" s="41">
        <f>VLOOKUP(E302,[3]단가!B$4:M$724,12,0)</f>
        <v>722100</v>
      </c>
      <c r="M302" s="118">
        <f t="shared" si="13"/>
        <v>0</v>
      </c>
      <c r="N302" s="481">
        <f t="shared" si="14"/>
        <v>0</v>
      </c>
    </row>
    <row r="303" spans="1:14">
      <c r="A303" s="111">
        <v>299</v>
      </c>
      <c r="B303" s="111" t="s">
        <v>745</v>
      </c>
      <c r="C303" s="111" t="s">
        <v>1246</v>
      </c>
      <c r="D303" s="111" t="s">
        <v>1530</v>
      </c>
      <c r="E303" s="111" t="s">
        <v>1260</v>
      </c>
      <c r="F303" s="111" t="s">
        <v>1250</v>
      </c>
      <c r="G303" s="111" t="s">
        <v>1261</v>
      </c>
      <c r="H303" s="191">
        <v>745938</v>
      </c>
      <c r="I303" s="172">
        <f t="shared" si="12"/>
        <v>820531.8</v>
      </c>
      <c r="J303" s="111"/>
      <c r="L303" s="41">
        <f>VLOOKUP(E303,[3]단가!B$4:M$724,12,0)</f>
        <v>745938</v>
      </c>
      <c r="M303" s="118">
        <f t="shared" si="13"/>
        <v>0</v>
      </c>
      <c r="N303" s="481">
        <f t="shared" si="14"/>
        <v>0</v>
      </c>
    </row>
    <row r="304" spans="1:14">
      <c r="A304" s="111">
        <v>300</v>
      </c>
      <c r="B304" s="111" t="s">
        <v>745</v>
      </c>
      <c r="C304" s="111" t="s">
        <v>1246</v>
      </c>
      <c r="D304" s="111" t="s">
        <v>1530</v>
      </c>
      <c r="E304" s="111" t="s">
        <v>1262</v>
      </c>
      <c r="F304" s="111" t="s">
        <v>1250</v>
      </c>
      <c r="G304" s="111" t="s">
        <v>1263</v>
      </c>
      <c r="H304" s="191">
        <v>889421</v>
      </c>
      <c r="I304" s="172">
        <f t="shared" si="12"/>
        <v>978363.10000000009</v>
      </c>
      <c r="J304" s="111"/>
      <c r="L304" s="41">
        <f>VLOOKUP(E304,[3]단가!B$4:M$724,12,0)</f>
        <v>889421</v>
      </c>
      <c r="M304" s="118">
        <f t="shared" si="13"/>
        <v>0</v>
      </c>
      <c r="N304" s="481">
        <f t="shared" si="14"/>
        <v>0</v>
      </c>
    </row>
    <row r="305" spans="1:14">
      <c r="A305" s="111">
        <v>301</v>
      </c>
      <c r="B305" s="111" t="s">
        <v>745</v>
      </c>
      <c r="C305" s="111" t="s">
        <v>1246</v>
      </c>
      <c r="D305" s="111" t="s">
        <v>1530</v>
      </c>
      <c r="E305" s="111" t="s">
        <v>1264</v>
      </c>
      <c r="F305" s="111" t="s">
        <v>1250</v>
      </c>
      <c r="G305" s="111" t="s">
        <v>1265</v>
      </c>
      <c r="H305" s="191">
        <v>889421</v>
      </c>
      <c r="I305" s="172">
        <f t="shared" si="12"/>
        <v>978363.10000000009</v>
      </c>
      <c r="J305" s="111"/>
      <c r="L305" s="41">
        <f>VLOOKUP(E305,[3]단가!B$4:M$724,12,0)</f>
        <v>889421</v>
      </c>
      <c r="M305" s="118">
        <f t="shared" si="13"/>
        <v>0</v>
      </c>
      <c r="N305" s="481">
        <f t="shared" si="14"/>
        <v>0</v>
      </c>
    </row>
    <row r="306" spans="1:14">
      <c r="A306" s="111">
        <v>302</v>
      </c>
      <c r="B306" s="111" t="s">
        <v>745</v>
      </c>
      <c r="C306" s="111" t="s">
        <v>1246</v>
      </c>
      <c r="D306" s="111" t="s">
        <v>1530</v>
      </c>
      <c r="E306" s="111" t="s">
        <v>1266</v>
      </c>
      <c r="F306" s="111" t="s">
        <v>1267</v>
      </c>
      <c r="G306" s="111" t="s">
        <v>1268</v>
      </c>
      <c r="H306" s="191">
        <v>1111024</v>
      </c>
      <c r="I306" s="172">
        <f t="shared" si="12"/>
        <v>1222126.4000000001</v>
      </c>
      <c r="J306" s="111"/>
      <c r="L306" s="41">
        <f>VLOOKUP(E306,[3]단가!B$4:M$724,12,0)</f>
        <v>1111024</v>
      </c>
      <c r="M306" s="118">
        <f t="shared" si="13"/>
        <v>0</v>
      </c>
      <c r="N306" s="481">
        <f t="shared" si="14"/>
        <v>0</v>
      </c>
    </row>
    <row r="307" spans="1:14">
      <c r="A307" s="111">
        <v>303</v>
      </c>
      <c r="B307" s="111" t="s">
        <v>745</v>
      </c>
      <c r="C307" s="111" t="s">
        <v>1246</v>
      </c>
      <c r="D307" s="111" t="s">
        <v>1530</v>
      </c>
      <c r="E307" s="111" t="s">
        <v>1269</v>
      </c>
      <c r="F307" s="111" t="s">
        <v>1267</v>
      </c>
      <c r="G307" s="111" t="s">
        <v>1270</v>
      </c>
      <c r="H307" s="191">
        <v>1132938</v>
      </c>
      <c r="I307" s="172">
        <f t="shared" si="12"/>
        <v>1246231.8</v>
      </c>
      <c r="J307" s="111"/>
      <c r="L307" s="41">
        <f>VLOOKUP(E307,[3]단가!B$4:M$724,12,0)</f>
        <v>1132938</v>
      </c>
      <c r="M307" s="118">
        <f t="shared" si="13"/>
        <v>0</v>
      </c>
      <c r="N307" s="481">
        <f t="shared" si="14"/>
        <v>0</v>
      </c>
    </row>
    <row r="308" spans="1:14">
      <c r="A308" s="111">
        <v>304</v>
      </c>
      <c r="B308" s="111" t="s">
        <v>745</v>
      </c>
      <c r="C308" s="111" t="s">
        <v>1246</v>
      </c>
      <c r="D308" s="111" t="s">
        <v>1530</v>
      </c>
      <c r="E308" s="111" t="s">
        <v>1271</v>
      </c>
      <c r="F308" s="111" t="s">
        <v>1267</v>
      </c>
      <c r="G308" s="111" t="s">
        <v>1272</v>
      </c>
      <c r="H308" s="191">
        <v>1143429</v>
      </c>
      <c r="I308" s="172">
        <f t="shared" si="12"/>
        <v>1257771.9000000001</v>
      </c>
      <c r="J308" s="111"/>
      <c r="L308" s="41">
        <f>VLOOKUP(E308,[3]단가!B$4:M$724,12,0)</f>
        <v>1143429</v>
      </c>
      <c r="M308" s="118">
        <f t="shared" si="13"/>
        <v>0</v>
      </c>
      <c r="N308" s="481">
        <f t="shared" si="14"/>
        <v>0</v>
      </c>
    </row>
    <row r="309" spans="1:14">
      <c r="A309" s="111">
        <v>305</v>
      </c>
      <c r="B309" s="111" t="s">
        <v>745</v>
      </c>
      <c r="C309" s="111" t="s">
        <v>1246</v>
      </c>
      <c r="D309" s="111" t="s">
        <v>1530</v>
      </c>
      <c r="E309" s="111" t="s">
        <v>1273</v>
      </c>
      <c r="F309" s="111" t="s">
        <v>1267</v>
      </c>
      <c r="G309" s="111" t="s">
        <v>1274</v>
      </c>
      <c r="H309" s="191">
        <v>1111024</v>
      </c>
      <c r="I309" s="172">
        <f t="shared" si="12"/>
        <v>1222126.4000000001</v>
      </c>
      <c r="J309" s="111"/>
      <c r="L309" s="41">
        <f>VLOOKUP(E309,[3]단가!B$4:M$724,12,0)</f>
        <v>1111024</v>
      </c>
      <c r="M309" s="118">
        <f t="shared" si="13"/>
        <v>0</v>
      </c>
      <c r="N309" s="481">
        <f t="shared" si="14"/>
        <v>0</v>
      </c>
    </row>
    <row r="310" spans="1:14">
      <c r="A310" s="111">
        <v>306</v>
      </c>
      <c r="B310" s="111" t="s">
        <v>745</v>
      </c>
      <c r="C310" s="111" t="s">
        <v>1246</v>
      </c>
      <c r="D310" s="111" t="s">
        <v>1530</v>
      </c>
      <c r="E310" s="111" t="s">
        <v>1275</v>
      </c>
      <c r="F310" s="111" t="s">
        <v>1267</v>
      </c>
      <c r="G310" s="111" t="s">
        <v>1276</v>
      </c>
      <c r="H310" s="191">
        <v>1132938</v>
      </c>
      <c r="I310" s="172">
        <f t="shared" si="12"/>
        <v>1246231.8</v>
      </c>
      <c r="J310" s="111"/>
      <c r="L310" s="41">
        <f>VLOOKUP(E310,[3]단가!B$4:M$724,12,0)</f>
        <v>1132938</v>
      </c>
      <c r="M310" s="118">
        <f t="shared" si="13"/>
        <v>0</v>
      </c>
      <c r="N310" s="481">
        <f t="shared" si="14"/>
        <v>0</v>
      </c>
    </row>
    <row r="311" spans="1:14">
      <c r="A311" s="111">
        <v>307</v>
      </c>
      <c r="B311" s="111" t="s">
        <v>745</v>
      </c>
      <c r="C311" s="111" t="s">
        <v>1246</v>
      </c>
      <c r="D311" s="111" t="s">
        <v>1530</v>
      </c>
      <c r="E311" s="111" t="s">
        <v>1277</v>
      </c>
      <c r="F311" s="111" t="s">
        <v>1267</v>
      </c>
      <c r="G311" s="111" t="s">
        <v>1278</v>
      </c>
      <c r="H311" s="191">
        <v>1143429</v>
      </c>
      <c r="I311" s="172">
        <f t="shared" si="12"/>
        <v>1257771.9000000001</v>
      </c>
      <c r="J311" s="111"/>
      <c r="L311" s="41">
        <f>VLOOKUP(E311,[3]단가!B$4:M$724,12,0)</f>
        <v>1143429</v>
      </c>
      <c r="M311" s="118">
        <f t="shared" si="13"/>
        <v>0</v>
      </c>
      <c r="N311" s="481">
        <f t="shared" si="14"/>
        <v>0</v>
      </c>
    </row>
    <row r="312" spans="1:14">
      <c r="A312" s="111">
        <v>308</v>
      </c>
      <c r="B312" s="111" t="s">
        <v>745</v>
      </c>
      <c r="C312" s="111" t="s">
        <v>1246</v>
      </c>
      <c r="D312" s="111" t="s">
        <v>1530</v>
      </c>
      <c r="E312" s="111" t="s">
        <v>1279</v>
      </c>
      <c r="F312" s="111" t="s">
        <v>1267</v>
      </c>
      <c r="G312" s="111" t="s">
        <v>1280</v>
      </c>
      <c r="H312" s="191">
        <v>1787902</v>
      </c>
      <c r="I312" s="172">
        <f t="shared" si="12"/>
        <v>1966692.2000000002</v>
      </c>
      <c r="J312" s="111"/>
      <c r="L312" s="41">
        <f>VLOOKUP(E312,[3]단가!B$4:M$724,12,0)</f>
        <v>1787902</v>
      </c>
      <c r="M312" s="118">
        <f t="shared" si="13"/>
        <v>0</v>
      </c>
      <c r="N312" s="481">
        <f t="shared" si="14"/>
        <v>0</v>
      </c>
    </row>
    <row r="313" spans="1:14">
      <c r="A313" s="111">
        <v>309</v>
      </c>
      <c r="B313" s="111" t="s">
        <v>745</v>
      </c>
      <c r="C313" s="111" t="s">
        <v>1246</v>
      </c>
      <c r="D313" s="111" t="s">
        <v>1530</v>
      </c>
      <c r="E313" s="111" t="s">
        <v>1281</v>
      </c>
      <c r="F313" s="111" t="s">
        <v>1267</v>
      </c>
      <c r="G313" s="111" t="s">
        <v>1282</v>
      </c>
      <c r="H313" s="191">
        <v>1787902</v>
      </c>
      <c r="I313" s="172">
        <f t="shared" si="12"/>
        <v>1966692.2000000002</v>
      </c>
      <c r="J313" s="111"/>
      <c r="L313" s="41">
        <f>VLOOKUP(E313,[3]단가!B$4:M$724,12,0)</f>
        <v>1787902</v>
      </c>
      <c r="M313" s="118">
        <f t="shared" si="13"/>
        <v>0</v>
      </c>
      <c r="N313" s="481">
        <f t="shared" si="14"/>
        <v>0</v>
      </c>
    </row>
    <row r="314" spans="1:14">
      <c r="A314" s="111">
        <v>310</v>
      </c>
      <c r="B314" s="111" t="s">
        <v>1011</v>
      </c>
      <c r="C314" s="111" t="s">
        <v>1283</v>
      </c>
      <c r="D314" s="111" t="s">
        <v>1530</v>
      </c>
      <c r="E314" s="111" t="s">
        <v>1284</v>
      </c>
      <c r="F314" s="111" t="s">
        <v>1285</v>
      </c>
      <c r="G314" s="111"/>
      <c r="H314" s="172">
        <v>34139</v>
      </c>
      <c r="I314" s="172">
        <f t="shared" si="12"/>
        <v>37552.9</v>
      </c>
      <c r="J314" s="111"/>
      <c r="L314" s="41">
        <f>VLOOKUP(E314,[3]단가!B$4:M$724,12,0)</f>
        <v>34139</v>
      </c>
      <c r="M314" s="118">
        <f t="shared" si="13"/>
        <v>0</v>
      </c>
      <c r="N314" s="481">
        <f t="shared" si="14"/>
        <v>0</v>
      </c>
    </row>
    <row r="315" spans="1:14">
      <c r="A315" s="111">
        <v>311</v>
      </c>
      <c r="B315" s="111" t="s">
        <v>1011</v>
      </c>
      <c r="C315" s="111" t="s">
        <v>1283</v>
      </c>
      <c r="D315" s="111" t="s">
        <v>1530</v>
      </c>
      <c r="E315" s="111" t="s">
        <v>1286</v>
      </c>
      <c r="F315" s="111" t="s">
        <v>1287</v>
      </c>
      <c r="G315" s="111"/>
      <c r="H315" s="172">
        <v>34139</v>
      </c>
      <c r="I315" s="172">
        <f t="shared" si="12"/>
        <v>37552.9</v>
      </c>
      <c r="J315" s="111"/>
      <c r="L315" s="41">
        <f>VLOOKUP(E315,[3]단가!B$4:M$724,12,0)</f>
        <v>34139</v>
      </c>
      <c r="M315" s="118">
        <f t="shared" si="13"/>
        <v>0</v>
      </c>
      <c r="N315" s="481">
        <f t="shared" si="14"/>
        <v>0</v>
      </c>
    </row>
    <row r="316" spans="1:14">
      <c r="A316" s="111">
        <v>312</v>
      </c>
      <c r="B316" s="111" t="s">
        <v>1011</v>
      </c>
      <c r="C316" s="111" t="s">
        <v>1283</v>
      </c>
      <c r="D316" s="111" t="s">
        <v>1530</v>
      </c>
      <c r="E316" s="111" t="s">
        <v>1288</v>
      </c>
      <c r="F316" s="111" t="s">
        <v>1289</v>
      </c>
      <c r="G316" s="111"/>
      <c r="H316" s="172">
        <v>34139</v>
      </c>
      <c r="I316" s="172">
        <f t="shared" si="12"/>
        <v>37552.9</v>
      </c>
      <c r="J316" s="111"/>
      <c r="L316" s="41">
        <f>VLOOKUP(E316,[3]단가!B$4:M$724,12,0)</f>
        <v>34139</v>
      </c>
      <c r="M316" s="118">
        <f t="shared" si="13"/>
        <v>0</v>
      </c>
      <c r="N316" s="481">
        <f t="shared" si="14"/>
        <v>0</v>
      </c>
    </row>
    <row r="317" spans="1:14">
      <c r="A317" s="111">
        <v>313</v>
      </c>
      <c r="B317" s="111" t="s">
        <v>1011</v>
      </c>
      <c r="C317" s="111" t="s">
        <v>1283</v>
      </c>
      <c r="D317" s="111" t="s">
        <v>1530</v>
      </c>
      <c r="E317" s="111" t="s">
        <v>1290</v>
      </c>
      <c r="F317" s="111" t="s">
        <v>1291</v>
      </c>
      <c r="G317" s="111"/>
      <c r="H317" s="172">
        <v>41970</v>
      </c>
      <c r="I317" s="172">
        <f t="shared" si="12"/>
        <v>46167.000000000007</v>
      </c>
      <c r="J317" s="111"/>
      <c r="L317" s="41">
        <f>VLOOKUP(E317,[3]단가!B$4:M$724,12,0)</f>
        <v>41970</v>
      </c>
      <c r="M317" s="118">
        <f t="shared" si="13"/>
        <v>0</v>
      </c>
      <c r="N317" s="481">
        <f t="shared" si="14"/>
        <v>0</v>
      </c>
    </row>
    <row r="318" spans="1:14">
      <c r="A318" s="111">
        <v>314</v>
      </c>
      <c r="B318" s="111" t="s">
        <v>1011</v>
      </c>
      <c r="C318" s="111" t="s">
        <v>1283</v>
      </c>
      <c r="D318" s="111" t="s">
        <v>1530</v>
      </c>
      <c r="E318" s="111" t="s">
        <v>1292</v>
      </c>
      <c r="F318" s="111" t="s">
        <v>1285</v>
      </c>
      <c r="G318" s="111"/>
      <c r="H318" s="172">
        <v>34139</v>
      </c>
      <c r="I318" s="172">
        <f t="shared" si="12"/>
        <v>37552.9</v>
      </c>
      <c r="J318" s="111"/>
      <c r="L318" s="41">
        <f>VLOOKUP(E318,[3]단가!B$4:M$724,12,0)</f>
        <v>34139</v>
      </c>
      <c r="M318" s="118">
        <f t="shared" si="13"/>
        <v>0</v>
      </c>
      <c r="N318" s="481">
        <f t="shared" si="14"/>
        <v>0</v>
      </c>
    </row>
    <row r="319" spans="1:14">
      <c r="A319" s="111">
        <v>315</v>
      </c>
      <c r="B319" s="111" t="s">
        <v>1011</v>
      </c>
      <c r="C319" s="111" t="s">
        <v>1283</v>
      </c>
      <c r="D319" s="111" t="s">
        <v>1530</v>
      </c>
      <c r="E319" s="111" t="s">
        <v>1293</v>
      </c>
      <c r="F319" s="111" t="s">
        <v>1287</v>
      </c>
      <c r="G319" s="111"/>
      <c r="H319" s="172">
        <v>34139</v>
      </c>
      <c r="I319" s="172">
        <f t="shared" si="12"/>
        <v>37552.9</v>
      </c>
      <c r="J319" s="111"/>
      <c r="L319" s="41">
        <f>VLOOKUP(E319,[3]단가!B$4:M$724,12,0)</f>
        <v>34139</v>
      </c>
      <c r="M319" s="118">
        <f t="shared" si="13"/>
        <v>0</v>
      </c>
      <c r="N319" s="481">
        <f t="shared" si="14"/>
        <v>0</v>
      </c>
    </row>
    <row r="320" spans="1:14">
      <c r="A320" s="111">
        <v>316</v>
      </c>
      <c r="B320" s="111" t="s">
        <v>1011</v>
      </c>
      <c r="C320" s="111" t="s">
        <v>1283</v>
      </c>
      <c r="D320" s="111" t="s">
        <v>1530</v>
      </c>
      <c r="E320" s="111" t="s">
        <v>1294</v>
      </c>
      <c r="F320" s="111" t="s">
        <v>1289</v>
      </c>
      <c r="G320" s="111"/>
      <c r="H320" s="172">
        <v>34139</v>
      </c>
      <c r="I320" s="172">
        <f t="shared" si="12"/>
        <v>37552.9</v>
      </c>
      <c r="J320" s="111"/>
      <c r="L320" s="41">
        <f>VLOOKUP(E320,[3]단가!B$4:M$724,12,0)</f>
        <v>34139</v>
      </c>
      <c r="M320" s="118">
        <f t="shared" si="13"/>
        <v>0</v>
      </c>
      <c r="N320" s="481">
        <f t="shared" si="14"/>
        <v>0</v>
      </c>
    </row>
    <row r="321" spans="1:14">
      <c r="A321" s="111">
        <v>317</v>
      </c>
      <c r="B321" s="111" t="s">
        <v>1011</v>
      </c>
      <c r="C321" s="111" t="s">
        <v>1283</v>
      </c>
      <c r="D321" s="111" t="s">
        <v>1530</v>
      </c>
      <c r="E321" s="111" t="s">
        <v>1295</v>
      </c>
      <c r="F321" s="111" t="s">
        <v>1291</v>
      </c>
      <c r="G321" s="111"/>
      <c r="H321" s="172">
        <v>41970</v>
      </c>
      <c r="I321" s="172">
        <f t="shared" si="12"/>
        <v>46167.000000000007</v>
      </c>
      <c r="J321" s="111"/>
      <c r="L321" s="41">
        <f>VLOOKUP(E321,[3]단가!B$4:M$724,12,0)</f>
        <v>41970</v>
      </c>
      <c r="M321" s="118">
        <f t="shared" si="13"/>
        <v>0</v>
      </c>
      <c r="N321" s="481">
        <f t="shared" si="14"/>
        <v>0</v>
      </c>
    </row>
    <row r="322" spans="1:14">
      <c r="A322" s="111">
        <v>318</v>
      </c>
      <c r="B322" s="111" t="s">
        <v>1011</v>
      </c>
      <c r="C322" s="111" t="s">
        <v>1044</v>
      </c>
      <c r="D322" s="111" t="s">
        <v>1530</v>
      </c>
      <c r="E322" s="111" t="s">
        <v>1296</v>
      </c>
      <c r="F322" s="111" t="s">
        <v>1285</v>
      </c>
      <c r="G322" s="111"/>
      <c r="H322" s="172">
        <v>156344</v>
      </c>
      <c r="I322" s="172">
        <f t="shared" si="12"/>
        <v>171978.40000000002</v>
      </c>
      <c r="J322" s="111"/>
      <c r="L322" s="41">
        <f>VLOOKUP(E322,[3]단가!B$4:M$724,12,0)</f>
        <v>156344</v>
      </c>
      <c r="M322" s="118">
        <f t="shared" si="13"/>
        <v>0</v>
      </c>
      <c r="N322" s="481">
        <f t="shared" si="14"/>
        <v>0</v>
      </c>
    </row>
    <row r="323" spans="1:14">
      <c r="A323" s="111">
        <v>319</v>
      </c>
      <c r="B323" s="111" t="s">
        <v>1011</v>
      </c>
      <c r="C323" s="111" t="s">
        <v>1044</v>
      </c>
      <c r="D323" s="111" t="s">
        <v>1530</v>
      </c>
      <c r="E323" s="111" t="s">
        <v>1297</v>
      </c>
      <c r="F323" s="111" t="s">
        <v>1287</v>
      </c>
      <c r="G323" s="111"/>
      <c r="H323" s="172">
        <v>156344</v>
      </c>
      <c r="I323" s="172">
        <f t="shared" si="12"/>
        <v>171978.40000000002</v>
      </c>
      <c r="J323" s="111"/>
      <c r="L323" s="41">
        <f>VLOOKUP(E323,[3]단가!B$4:M$724,12,0)</f>
        <v>156344</v>
      </c>
      <c r="M323" s="118">
        <f t="shared" si="13"/>
        <v>0</v>
      </c>
      <c r="N323" s="481">
        <f t="shared" si="14"/>
        <v>0</v>
      </c>
    </row>
    <row r="324" spans="1:14">
      <c r="A324" s="111">
        <v>320</v>
      </c>
      <c r="B324" s="111" t="s">
        <v>1011</v>
      </c>
      <c r="C324" s="111" t="s">
        <v>1044</v>
      </c>
      <c r="D324" s="111" t="s">
        <v>1530</v>
      </c>
      <c r="E324" s="111" t="s">
        <v>1298</v>
      </c>
      <c r="F324" s="111" t="s">
        <v>1289</v>
      </c>
      <c r="G324" s="111"/>
      <c r="H324" s="172">
        <v>156344</v>
      </c>
      <c r="I324" s="172">
        <f t="shared" si="12"/>
        <v>171978.40000000002</v>
      </c>
      <c r="J324" s="111"/>
      <c r="L324" s="41">
        <f>VLOOKUP(E324,[3]단가!B$4:M$724,12,0)</f>
        <v>156344</v>
      </c>
      <c r="M324" s="118">
        <f t="shared" si="13"/>
        <v>0</v>
      </c>
      <c r="N324" s="481">
        <f t="shared" si="14"/>
        <v>0</v>
      </c>
    </row>
    <row r="325" spans="1:14">
      <c r="A325" s="111">
        <v>321</v>
      </c>
      <c r="B325" s="111" t="s">
        <v>1011</v>
      </c>
      <c r="C325" s="111" t="s">
        <v>1044</v>
      </c>
      <c r="D325" s="111" t="s">
        <v>1530</v>
      </c>
      <c r="E325" s="111" t="s">
        <v>1299</v>
      </c>
      <c r="F325" s="111" t="s">
        <v>1291</v>
      </c>
      <c r="G325" s="111"/>
      <c r="H325" s="172">
        <v>156344</v>
      </c>
      <c r="I325" s="172">
        <f t="shared" ref="I325:I388" si="15">IF(D325="Y",H325*$I$3,H325*$J$3)</f>
        <v>171978.40000000002</v>
      </c>
      <c r="J325" s="111"/>
      <c r="L325" s="41">
        <f>VLOOKUP(E325,[3]단가!B$4:M$724,12,0)</f>
        <v>156344</v>
      </c>
      <c r="M325" s="118">
        <f t="shared" si="13"/>
        <v>0</v>
      </c>
      <c r="N325" s="481">
        <f t="shared" si="14"/>
        <v>0</v>
      </c>
    </row>
    <row r="326" spans="1:14">
      <c r="A326" s="111">
        <v>322</v>
      </c>
      <c r="B326" s="111" t="s">
        <v>745</v>
      </c>
      <c r="C326" s="111" t="s">
        <v>1300</v>
      </c>
      <c r="D326" s="111" t="s">
        <v>1530</v>
      </c>
      <c r="E326" s="111" t="s">
        <v>1301</v>
      </c>
      <c r="F326" s="111" t="s">
        <v>1300</v>
      </c>
      <c r="G326" s="111"/>
      <c r="H326" s="172">
        <v>157895</v>
      </c>
      <c r="I326" s="172">
        <f t="shared" si="15"/>
        <v>173684.5</v>
      </c>
      <c r="J326" s="111"/>
      <c r="L326" s="41">
        <f>VLOOKUP(E326,[3]단가!B$4:M$724,12,0)</f>
        <v>157895</v>
      </c>
      <c r="M326" s="118">
        <f t="shared" ref="M326:M389" si="16">L326-H326</f>
        <v>0</v>
      </c>
      <c r="N326" s="481">
        <f t="shared" ref="N326:N389" si="17">M326/H326</f>
        <v>0</v>
      </c>
    </row>
    <row r="327" spans="1:14">
      <c r="A327" s="111">
        <v>323</v>
      </c>
      <c r="B327" s="111" t="s">
        <v>745</v>
      </c>
      <c r="C327" s="111" t="s">
        <v>1302</v>
      </c>
      <c r="D327" s="111" t="s">
        <v>1530</v>
      </c>
      <c r="E327" s="111" t="s">
        <v>1303</v>
      </c>
      <c r="F327" s="111" t="s">
        <v>1048</v>
      </c>
      <c r="G327" s="111" t="s">
        <v>1304</v>
      </c>
      <c r="H327" s="172">
        <v>49270</v>
      </c>
      <c r="I327" s="172">
        <f t="shared" si="15"/>
        <v>54197.000000000007</v>
      </c>
      <c r="J327" s="111"/>
      <c r="L327" s="41">
        <f>VLOOKUP(E327,[3]단가!B$4:M$724,12,0)</f>
        <v>49270</v>
      </c>
      <c r="M327" s="118">
        <f t="shared" si="16"/>
        <v>0</v>
      </c>
      <c r="N327" s="481">
        <f t="shared" si="17"/>
        <v>0</v>
      </c>
    </row>
    <row r="328" spans="1:14">
      <c r="A328" s="111">
        <v>324</v>
      </c>
      <c r="B328" s="111" t="s">
        <v>745</v>
      </c>
      <c r="C328" s="111" t="s">
        <v>1302</v>
      </c>
      <c r="D328" s="111" t="s">
        <v>1530</v>
      </c>
      <c r="E328" s="111" t="s">
        <v>1305</v>
      </c>
      <c r="F328" s="111" t="s">
        <v>1051</v>
      </c>
      <c r="G328" s="111" t="s">
        <v>1304</v>
      </c>
      <c r="H328" s="172">
        <v>56555</v>
      </c>
      <c r="I328" s="172">
        <f t="shared" si="15"/>
        <v>62210.500000000007</v>
      </c>
      <c r="J328" s="111"/>
      <c r="L328" s="41">
        <f>VLOOKUP(E328,[3]단가!B$4:M$724,12,0)</f>
        <v>56555</v>
      </c>
      <c r="M328" s="118">
        <f t="shared" si="16"/>
        <v>0</v>
      </c>
      <c r="N328" s="481">
        <f t="shared" si="17"/>
        <v>0</v>
      </c>
    </row>
    <row r="329" spans="1:14">
      <c r="A329" s="111">
        <v>325</v>
      </c>
      <c r="B329" s="111" t="s">
        <v>745</v>
      </c>
      <c r="C329" s="111" t="s">
        <v>1302</v>
      </c>
      <c r="D329" s="111" t="s">
        <v>1530</v>
      </c>
      <c r="E329" s="111" t="s">
        <v>1306</v>
      </c>
      <c r="F329" s="111" t="s">
        <v>1307</v>
      </c>
      <c r="G329" s="111" t="s">
        <v>1304</v>
      </c>
      <c r="H329" s="172">
        <v>64913</v>
      </c>
      <c r="I329" s="172">
        <f t="shared" si="15"/>
        <v>71404.3</v>
      </c>
      <c r="J329" s="111"/>
      <c r="L329" s="41">
        <f>VLOOKUP(E329,[3]단가!B$4:M$724,12,0)</f>
        <v>64913</v>
      </c>
      <c r="M329" s="118">
        <f t="shared" si="16"/>
        <v>0</v>
      </c>
      <c r="N329" s="481">
        <f t="shared" si="17"/>
        <v>0</v>
      </c>
    </row>
    <row r="330" spans="1:14">
      <c r="A330" s="111">
        <v>326</v>
      </c>
      <c r="B330" s="111" t="s">
        <v>745</v>
      </c>
      <c r="C330" s="111" t="s">
        <v>1302</v>
      </c>
      <c r="D330" s="111" t="s">
        <v>1530</v>
      </c>
      <c r="E330" s="111" t="s">
        <v>1308</v>
      </c>
      <c r="F330" s="111" t="s">
        <v>1057</v>
      </c>
      <c r="G330" s="111" t="s">
        <v>1304</v>
      </c>
      <c r="H330" s="172">
        <v>124158</v>
      </c>
      <c r="I330" s="172">
        <f t="shared" si="15"/>
        <v>136573.80000000002</v>
      </c>
      <c r="J330" s="111"/>
      <c r="L330" s="41">
        <f>VLOOKUP(E330,[3]단가!B$4:M$724,12,0)</f>
        <v>124158</v>
      </c>
      <c r="M330" s="118">
        <f t="shared" si="16"/>
        <v>0</v>
      </c>
      <c r="N330" s="481">
        <f t="shared" si="17"/>
        <v>0</v>
      </c>
    </row>
    <row r="331" spans="1:14">
      <c r="A331" s="111">
        <v>327</v>
      </c>
      <c r="B331" s="111" t="s">
        <v>745</v>
      </c>
      <c r="C331" s="111" t="s">
        <v>1302</v>
      </c>
      <c r="D331" s="111" t="s">
        <v>1530</v>
      </c>
      <c r="E331" s="111" t="s">
        <v>1309</v>
      </c>
      <c r="F331" s="111" t="s">
        <v>1054</v>
      </c>
      <c r="G331" s="111" t="s">
        <v>1310</v>
      </c>
      <c r="H331" s="172">
        <v>157781</v>
      </c>
      <c r="I331" s="172">
        <f t="shared" si="15"/>
        <v>173559.1</v>
      </c>
      <c r="J331" s="111"/>
      <c r="L331" s="41">
        <f>VLOOKUP(E331,[3]단가!B$4:M$724,12,0)</f>
        <v>157781</v>
      </c>
      <c r="M331" s="118">
        <f t="shared" si="16"/>
        <v>0</v>
      </c>
      <c r="N331" s="481">
        <f t="shared" si="17"/>
        <v>0</v>
      </c>
    </row>
    <row r="332" spans="1:14">
      <c r="A332" s="111">
        <v>328</v>
      </c>
      <c r="B332" s="111" t="s">
        <v>745</v>
      </c>
      <c r="C332" s="111" t="s">
        <v>1302</v>
      </c>
      <c r="D332" s="111" t="s">
        <v>1530</v>
      </c>
      <c r="E332" s="111" t="s">
        <v>1311</v>
      </c>
      <c r="F332" s="111" t="s">
        <v>1048</v>
      </c>
      <c r="G332" s="111" t="s">
        <v>1310</v>
      </c>
      <c r="H332" s="172">
        <v>109305</v>
      </c>
      <c r="I332" s="172">
        <f t="shared" si="15"/>
        <v>120235.50000000001</v>
      </c>
      <c r="J332" s="111"/>
      <c r="L332" s="41">
        <f>VLOOKUP(E332,[3]단가!B$4:M$724,12,0)</f>
        <v>109305</v>
      </c>
      <c r="M332" s="118">
        <f t="shared" si="16"/>
        <v>0</v>
      </c>
      <c r="N332" s="481">
        <f t="shared" si="17"/>
        <v>0</v>
      </c>
    </row>
    <row r="333" spans="1:14">
      <c r="A333" s="111">
        <v>329</v>
      </c>
      <c r="B333" s="111" t="s">
        <v>745</v>
      </c>
      <c r="C333" s="111" t="s">
        <v>1302</v>
      </c>
      <c r="D333" s="111" t="s">
        <v>1530</v>
      </c>
      <c r="E333" s="111" t="s">
        <v>1952</v>
      </c>
      <c r="F333" s="111" t="s">
        <v>1057</v>
      </c>
      <c r="G333" s="111" t="s">
        <v>1310</v>
      </c>
      <c r="H333" s="172">
        <v>74490</v>
      </c>
      <c r="I333" s="172">
        <f t="shared" si="15"/>
        <v>81939</v>
      </c>
      <c r="J333" s="111"/>
      <c r="L333" s="41">
        <f>VLOOKUP(E333,[3]단가!B$4:M$724,12,0)</f>
        <v>74490</v>
      </c>
      <c r="M333" s="118">
        <f t="shared" si="16"/>
        <v>0</v>
      </c>
      <c r="N333" s="481">
        <f t="shared" si="17"/>
        <v>0</v>
      </c>
    </row>
    <row r="334" spans="1:14">
      <c r="A334" s="111">
        <v>331</v>
      </c>
      <c r="B334" s="111" t="s">
        <v>745</v>
      </c>
      <c r="C334" s="111" t="s">
        <v>1313</v>
      </c>
      <c r="D334" s="111" t="s">
        <v>1530</v>
      </c>
      <c r="E334" s="111" t="s">
        <v>1314</v>
      </c>
      <c r="F334" s="111" t="s">
        <v>1315</v>
      </c>
      <c r="G334" s="111" t="s">
        <v>1316</v>
      </c>
      <c r="H334" s="172">
        <v>34510</v>
      </c>
      <c r="I334" s="172">
        <f t="shared" si="15"/>
        <v>37961</v>
      </c>
      <c r="J334" s="111"/>
      <c r="L334" s="41">
        <f>VLOOKUP(E334,[3]단가!B$4:M$724,12,0)</f>
        <v>34510</v>
      </c>
      <c r="M334" s="118">
        <f t="shared" si="16"/>
        <v>0</v>
      </c>
      <c r="N334" s="481">
        <f t="shared" si="17"/>
        <v>0</v>
      </c>
    </row>
    <row r="335" spans="1:14">
      <c r="A335" s="111">
        <v>332</v>
      </c>
      <c r="B335" s="111" t="s">
        <v>745</v>
      </c>
      <c r="C335" s="111" t="s">
        <v>1313</v>
      </c>
      <c r="D335" s="111" t="s">
        <v>747</v>
      </c>
      <c r="E335" s="111" t="s">
        <v>1317</v>
      </c>
      <c r="F335" s="111" t="s">
        <v>1315</v>
      </c>
      <c r="G335" s="111" t="s">
        <v>1318</v>
      </c>
      <c r="H335" s="172">
        <v>34510</v>
      </c>
      <c r="I335" s="172">
        <f t="shared" si="15"/>
        <v>34510</v>
      </c>
      <c r="J335" s="111"/>
      <c r="L335" s="41">
        <f>VLOOKUP(E335,[3]단가!B$4:M$724,12,0)</f>
        <v>34510</v>
      </c>
      <c r="M335" s="118">
        <f t="shared" si="16"/>
        <v>0</v>
      </c>
      <c r="N335" s="481">
        <f t="shared" si="17"/>
        <v>0</v>
      </c>
    </row>
    <row r="336" spans="1:14">
      <c r="A336" s="111">
        <v>333</v>
      </c>
      <c r="B336" s="111" t="s">
        <v>745</v>
      </c>
      <c r="C336" s="111" t="s">
        <v>1313</v>
      </c>
      <c r="D336" s="111" t="s">
        <v>747</v>
      </c>
      <c r="E336" s="111" t="s">
        <v>1319</v>
      </c>
      <c r="F336" s="111" t="s">
        <v>1315</v>
      </c>
      <c r="G336" s="111" t="s">
        <v>1320</v>
      </c>
      <c r="H336" s="172">
        <v>34510</v>
      </c>
      <c r="I336" s="172">
        <f t="shared" si="15"/>
        <v>34510</v>
      </c>
      <c r="J336" s="111"/>
      <c r="L336" s="41">
        <f>VLOOKUP(E336,[3]단가!B$4:M$724,12,0)</f>
        <v>34510</v>
      </c>
      <c r="M336" s="118">
        <f t="shared" si="16"/>
        <v>0</v>
      </c>
      <c r="N336" s="481">
        <f t="shared" si="17"/>
        <v>0</v>
      </c>
    </row>
    <row r="337" spans="1:14">
      <c r="A337" s="111">
        <v>334</v>
      </c>
      <c r="B337" s="111" t="s">
        <v>745</v>
      </c>
      <c r="C337" s="111" t="s">
        <v>1313</v>
      </c>
      <c r="D337" s="111" t="s">
        <v>747</v>
      </c>
      <c r="E337" s="111" t="s">
        <v>1321</v>
      </c>
      <c r="F337" s="111" t="s">
        <v>1322</v>
      </c>
      <c r="G337" s="111" t="s">
        <v>1323</v>
      </c>
      <c r="H337" s="172">
        <v>36540</v>
      </c>
      <c r="I337" s="172">
        <f t="shared" si="15"/>
        <v>36540</v>
      </c>
      <c r="J337" s="111"/>
      <c r="L337" s="41">
        <f>VLOOKUP(E337,[3]단가!B$4:M$724,12,0)</f>
        <v>36540</v>
      </c>
      <c r="M337" s="118">
        <f t="shared" si="16"/>
        <v>0</v>
      </c>
      <c r="N337" s="481">
        <f t="shared" si="17"/>
        <v>0</v>
      </c>
    </row>
    <row r="338" spans="1:14">
      <c r="A338" s="111">
        <v>335</v>
      </c>
      <c r="B338" s="111" t="s">
        <v>745</v>
      </c>
      <c r="C338" s="111" t="s">
        <v>1313</v>
      </c>
      <c r="D338" s="111" t="s">
        <v>1530</v>
      </c>
      <c r="E338" s="111" t="s">
        <v>1324</v>
      </c>
      <c r="F338" s="111" t="s">
        <v>1325</v>
      </c>
      <c r="G338" s="111" t="s">
        <v>1326</v>
      </c>
      <c r="H338" s="172">
        <v>20807</v>
      </c>
      <c r="I338" s="172">
        <f t="shared" si="15"/>
        <v>22887.7</v>
      </c>
      <c r="J338" s="111"/>
      <c r="L338" s="41">
        <f>VLOOKUP(E338,[3]단가!B$4:M$724,12,0)</f>
        <v>20807</v>
      </c>
      <c r="M338" s="118">
        <f t="shared" si="16"/>
        <v>0</v>
      </c>
      <c r="N338" s="481">
        <f t="shared" si="17"/>
        <v>0</v>
      </c>
    </row>
    <row r="339" spans="1:14">
      <c r="A339" s="111">
        <v>336</v>
      </c>
      <c r="B339" s="111" t="s">
        <v>745</v>
      </c>
      <c r="C339" s="111" t="s">
        <v>1313</v>
      </c>
      <c r="D339" s="111" t="s">
        <v>747</v>
      </c>
      <c r="E339" s="111" t="s">
        <v>1327</v>
      </c>
      <c r="F339" s="111" t="s">
        <v>1313</v>
      </c>
      <c r="G339" s="111"/>
      <c r="H339" s="172">
        <v>20807</v>
      </c>
      <c r="I339" s="172">
        <f t="shared" si="15"/>
        <v>20807</v>
      </c>
      <c r="J339" s="111"/>
      <c r="L339" s="41">
        <f>VLOOKUP(E339,[3]단가!B$4:M$724,12,0)</f>
        <v>20807</v>
      </c>
      <c r="M339" s="118">
        <f t="shared" si="16"/>
        <v>0</v>
      </c>
      <c r="N339" s="481">
        <f t="shared" si="17"/>
        <v>0</v>
      </c>
    </row>
    <row r="340" spans="1:14">
      <c r="A340" s="111">
        <v>337</v>
      </c>
      <c r="B340" s="111" t="s">
        <v>745</v>
      </c>
      <c r="C340" s="111" t="s">
        <v>1313</v>
      </c>
      <c r="D340" s="111" t="s">
        <v>747</v>
      </c>
      <c r="E340" s="111" t="s">
        <v>1328</v>
      </c>
      <c r="F340" s="111" t="s">
        <v>1313</v>
      </c>
      <c r="G340" s="111"/>
      <c r="H340" s="172">
        <v>20807</v>
      </c>
      <c r="I340" s="172">
        <f t="shared" si="15"/>
        <v>20807</v>
      </c>
      <c r="J340" s="111"/>
      <c r="L340" s="41">
        <f>VLOOKUP(E340,[3]단가!B$4:M$724,12,0)</f>
        <v>20807</v>
      </c>
      <c r="M340" s="118">
        <f t="shared" si="16"/>
        <v>0</v>
      </c>
      <c r="N340" s="481">
        <f t="shared" si="17"/>
        <v>0</v>
      </c>
    </row>
    <row r="341" spans="1:14">
      <c r="A341" s="111">
        <v>338</v>
      </c>
      <c r="B341" s="111" t="s">
        <v>745</v>
      </c>
      <c r="C341" s="111" t="s">
        <v>1313</v>
      </c>
      <c r="D341" s="111" t="s">
        <v>747</v>
      </c>
      <c r="E341" s="111" t="s">
        <v>1329</v>
      </c>
      <c r="F341" s="111" t="s">
        <v>1313</v>
      </c>
      <c r="G341" s="111"/>
      <c r="H341" s="172">
        <v>26796</v>
      </c>
      <c r="I341" s="172">
        <f t="shared" si="15"/>
        <v>26796</v>
      </c>
      <c r="J341" s="111"/>
      <c r="L341" s="41">
        <f>VLOOKUP(E341,[3]단가!B$4:M$724,12,0)</f>
        <v>26796</v>
      </c>
      <c r="M341" s="118">
        <f t="shared" si="16"/>
        <v>0</v>
      </c>
      <c r="N341" s="481">
        <f t="shared" si="17"/>
        <v>0</v>
      </c>
    </row>
    <row r="342" spans="1:14">
      <c r="A342" s="111">
        <v>339</v>
      </c>
      <c r="B342" s="111" t="s">
        <v>745</v>
      </c>
      <c r="C342" s="111" t="s">
        <v>1313</v>
      </c>
      <c r="D342" s="111" t="s">
        <v>1530</v>
      </c>
      <c r="E342" s="111" t="s">
        <v>1330</v>
      </c>
      <c r="F342" s="111" t="s">
        <v>1315</v>
      </c>
      <c r="G342" s="111" t="s">
        <v>1331</v>
      </c>
      <c r="H342" s="172">
        <v>25882</v>
      </c>
      <c r="I342" s="172">
        <f t="shared" si="15"/>
        <v>28470.2</v>
      </c>
      <c r="J342" s="111"/>
      <c r="L342" s="41">
        <f>VLOOKUP(E342,[3]단가!B$4:M$724,12,0)</f>
        <v>25882</v>
      </c>
      <c r="M342" s="118">
        <f t="shared" si="16"/>
        <v>0</v>
      </c>
      <c r="N342" s="481">
        <f t="shared" si="17"/>
        <v>0</v>
      </c>
    </row>
    <row r="343" spans="1:14">
      <c r="A343" s="111">
        <v>340</v>
      </c>
      <c r="B343" s="111" t="s">
        <v>745</v>
      </c>
      <c r="C343" s="111" t="s">
        <v>1313</v>
      </c>
      <c r="D343" s="111" t="s">
        <v>1530</v>
      </c>
      <c r="E343" s="111" t="s">
        <v>1332</v>
      </c>
      <c r="F343" s="111" t="s">
        <v>1315</v>
      </c>
      <c r="G343" s="111" t="s">
        <v>1333</v>
      </c>
      <c r="H343" s="172">
        <v>25882</v>
      </c>
      <c r="I343" s="172">
        <f t="shared" si="15"/>
        <v>28470.2</v>
      </c>
      <c r="J343" s="111"/>
      <c r="L343" s="41">
        <f>VLOOKUP(E343,[3]단가!B$4:M$724,12,0)</f>
        <v>25882</v>
      </c>
      <c r="M343" s="118">
        <f t="shared" si="16"/>
        <v>0</v>
      </c>
      <c r="N343" s="481">
        <f t="shared" si="17"/>
        <v>0</v>
      </c>
    </row>
    <row r="344" spans="1:14">
      <c r="A344" s="111">
        <v>341</v>
      </c>
      <c r="B344" s="111" t="s">
        <v>745</v>
      </c>
      <c r="C344" s="111" t="s">
        <v>1313</v>
      </c>
      <c r="D344" s="111" t="s">
        <v>1530</v>
      </c>
      <c r="E344" s="111" t="s">
        <v>1334</v>
      </c>
      <c r="F344" s="111" t="s">
        <v>1315</v>
      </c>
      <c r="G344" s="111" t="s">
        <v>1335</v>
      </c>
      <c r="H344" s="172">
        <v>25882</v>
      </c>
      <c r="I344" s="172">
        <f t="shared" si="15"/>
        <v>28470.2</v>
      </c>
      <c r="J344" s="111"/>
      <c r="L344" s="41">
        <f>VLOOKUP(E344,[3]단가!B$4:M$724,12,0)</f>
        <v>25882</v>
      </c>
      <c r="M344" s="118">
        <f t="shared" si="16"/>
        <v>0</v>
      </c>
      <c r="N344" s="481">
        <f t="shared" si="17"/>
        <v>0</v>
      </c>
    </row>
    <row r="345" spans="1:14">
      <c r="A345" s="111">
        <v>342</v>
      </c>
      <c r="B345" s="111" t="s">
        <v>745</v>
      </c>
      <c r="C345" s="111" t="s">
        <v>1313</v>
      </c>
      <c r="D345" s="111" t="s">
        <v>747</v>
      </c>
      <c r="E345" s="111" t="s">
        <v>1336</v>
      </c>
      <c r="F345" s="111" t="s">
        <v>1322</v>
      </c>
      <c r="G345" s="111" t="s">
        <v>1337</v>
      </c>
      <c r="H345" s="172">
        <v>28420</v>
      </c>
      <c r="I345" s="172">
        <f t="shared" si="15"/>
        <v>28420</v>
      </c>
      <c r="J345" s="111"/>
      <c r="L345" s="41">
        <f>VLOOKUP(E345,[3]단가!B$4:M$724,12,0)</f>
        <v>28420</v>
      </c>
      <c r="M345" s="118">
        <f t="shared" si="16"/>
        <v>0</v>
      </c>
      <c r="N345" s="481">
        <f t="shared" si="17"/>
        <v>0</v>
      </c>
    </row>
    <row r="346" spans="1:14">
      <c r="A346" s="111">
        <v>343</v>
      </c>
      <c r="B346" s="111" t="s">
        <v>745</v>
      </c>
      <c r="C346" s="111" t="s">
        <v>1338</v>
      </c>
      <c r="D346" s="111" t="s">
        <v>1530</v>
      </c>
      <c r="E346" s="111" t="s">
        <v>1339</v>
      </c>
      <c r="F346" s="111" t="s">
        <v>1340</v>
      </c>
      <c r="G346" s="111" t="s">
        <v>1341</v>
      </c>
      <c r="H346" s="172">
        <v>539178.14999999991</v>
      </c>
      <c r="I346" s="172">
        <f t="shared" si="15"/>
        <v>593095.96499999997</v>
      </c>
      <c r="J346" s="111"/>
      <c r="L346" s="41">
        <v>539178.14999999991</v>
      </c>
      <c r="M346" s="118">
        <f t="shared" si="16"/>
        <v>0</v>
      </c>
      <c r="N346" s="481">
        <f t="shared" si="17"/>
        <v>0</v>
      </c>
    </row>
    <row r="347" spans="1:14">
      <c r="A347" s="111">
        <v>344</v>
      </c>
      <c r="B347" s="111" t="s">
        <v>745</v>
      </c>
      <c r="C347" s="111" t="s">
        <v>1338</v>
      </c>
      <c r="D347" s="111" t="s">
        <v>1530</v>
      </c>
      <c r="E347" s="111" t="s">
        <v>1342</v>
      </c>
      <c r="F347" s="111" t="s">
        <v>1340</v>
      </c>
      <c r="G347" s="111" t="s">
        <v>1343</v>
      </c>
      <c r="H347" s="172">
        <v>554519.875</v>
      </c>
      <c r="I347" s="172">
        <f t="shared" si="15"/>
        <v>609971.86250000005</v>
      </c>
      <c r="J347" s="111"/>
      <c r="L347" s="41">
        <v>554519.875</v>
      </c>
      <c r="M347" s="118">
        <f t="shared" si="16"/>
        <v>0</v>
      </c>
      <c r="N347" s="481">
        <f t="shared" si="17"/>
        <v>0</v>
      </c>
    </row>
    <row r="348" spans="1:14">
      <c r="A348" s="111">
        <v>345</v>
      </c>
      <c r="B348" s="111" t="s">
        <v>745</v>
      </c>
      <c r="C348" s="111" t="s">
        <v>1344</v>
      </c>
      <c r="D348" s="111" t="s">
        <v>747</v>
      </c>
      <c r="E348" s="111" t="s">
        <v>1345</v>
      </c>
      <c r="F348" s="111" t="s">
        <v>1344</v>
      </c>
      <c r="G348" s="111"/>
      <c r="H348" s="172">
        <v>304</v>
      </c>
      <c r="I348" s="172">
        <f t="shared" si="15"/>
        <v>304</v>
      </c>
      <c r="J348" s="111"/>
      <c r="L348" s="41">
        <f>VLOOKUP(E348,[3]단가!B$4:M$724,12,0)</f>
        <v>304</v>
      </c>
      <c r="M348" s="118">
        <f t="shared" si="16"/>
        <v>0</v>
      </c>
      <c r="N348" s="481">
        <f t="shared" si="17"/>
        <v>0</v>
      </c>
    </row>
    <row r="349" spans="1:14">
      <c r="A349" s="111">
        <v>346</v>
      </c>
      <c r="B349" s="111" t="s">
        <v>745</v>
      </c>
      <c r="C349" s="111" t="s">
        <v>1344</v>
      </c>
      <c r="D349" s="111" t="s">
        <v>1530</v>
      </c>
      <c r="E349" s="111" t="s">
        <v>1346</v>
      </c>
      <c r="F349" s="111"/>
      <c r="G349" s="111" t="s">
        <v>1344</v>
      </c>
      <c r="H349" s="172">
        <v>308.55999999999995</v>
      </c>
      <c r="I349" s="172">
        <f t="shared" si="15"/>
        <v>339.41599999999994</v>
      </c>
      <c r="J349" s="111"/>
      <c r="L349" s="41">
        <v>308.55999999999995</v>
      </c>
      <c r="M349" s="118">
        <f t="shared" si="16"/>
        <v>0</v>
      </c>
      <c r="N349" s="481">
        <f t="shared" si="17"/>
        <v>0</v>
      </c>
    </row>
    <row r="350" spans="1:14">
      <c r="A350" s="111">
        <v>347</v>
      </c>
      <c r="B350" s="111" t="s">
        <v>745</v>
      </c>
      <c r="C350" s="111" t="s">
        <v>1347</v>
      </c>
      <c r="D350" s="111" t="s">
        <v>1530</v>
      </c>
      <c r="E350" s="111" t="s">
        <v>1348</v>
      </c>
      <c r="F350" s="111" t="s">
        <v>1347</v>
      </c>
      <c r="G350" s="111"/>
      <c r="H350" s="172">
        <v>812</v>
      </c>
      <c r="I350" s="172">
        <f t="shared" si="15"/>
        <v>893.2</v>
      </c>
      <c r="J350" s="111"/>
      <c r="L350" s="41">
        <f>VLOOKUP(E350,[3]단가!B$4:M$724,12,0)</f>
        <v>812</v>
      </c>
      <c r="M350" s="118">
        <f t="shared" si="16"/>
        <v>0</v>
      </c>
      <c r="N350" s="481">
        <f t="shared" si="17"/>
        <v>0</v>
      </c>
    </row>
    <row r="351" spans="1:14">
      <c r="A351" s="111">
        <v>348</v>
      </c>
      <c r="B351" s="111" t="s">
        <v>745</v>
      </c>
      <c r="C351" s="111" t="s">
        <v>1349</v>
      </c>
      <c r="D351" s="111" t="s">
        <v>747</v>
      </c>
      <c r="E351" s="111" t="s">
        <v>1350</v>
      </c>
      <c r="F351" s="111" t="s">
        <v>1349</v>
      </c>
      <c r="G351" s="111"/>
      <c r="H351" s="172">
        <v>12992</v>
      </c>
      <c r="I351" s="172">
        <f t="shared" si="15"/>
        <v>12992</v>
      </c>
      <c r="J351" s="111"/>
      <c r="L351" s="41">
        <f>VLOOKUP(E351,[3]단가!B$4:M$724,12,0)</f>
        <v>12992</v>
      </c>
      <c r="M351" s="118">
        <f t="shared" si="16"/>
        <v>0</v>
      </c>
      <c r="N351" s="481">
        <f t="shared" si="17"/>
        <v>0</v>
      </c>
    </row>
    <row r="352" spans="1:14">
      <c r="A352" s="111">
        <v>349</v>
      </c>
      <c r="B352" s="111" t="s">
        <v>745</v>
      </c>
      <c r="C352" s="111" t="s">
        <v>214</v>
      </c>
      <c r="D352" s="111" t="s">
        <v>747</v>
      </c>
      <c r="E352" s="111" t="s">
        <v>156</v>
      </c>
      <c r="F352" s="111" t="s">
        <v>157</v>
      </c>
      <c r="G352" s="111" t="s">
        <v>1351</v>
      </c>
      <c r="H352" s="191">
        <v>56393</v>
      </c>
      <c r="I352" s="172">
        <f t="shared" si="15"/>
        <v>56393</v>
      </c>
      <c r="J352" s="111"/>
      <c r="L352" s="41">
        <f>VLOOKUP(E352,[3]단가!B$4:M$724,12,0)</f>
        <v>56393</v>
      </c>
      <c r="M352" s="118">
        <f t="shared" si="16"/>
        <v>0</v>
      </c>
      <c r="N352" s="481">
        <f t="shared" si="17"/>
        <v>0</v>
      </c>
    </row>
    <row r="353" spans="1:14">
      <c r="A353" s="111">
        <v>350</v>
      </c>
      <c r="B353" s="111" t="s">
        <v>745</v>
      </c>
      <c r="C353" s="111" t="s">
        <v>214</v>
      </c>
      <c r="D353" s="111" t="s">
        <v>747</v>
      </c>
      <c r="E353" s="111" t="s">
        <v>161</v>
      </c>
      <c r="F353" s="111" t="s">
        <v>162</v>
      </c>
      <c r="G353" s="111" t="s">
        <v>1352</v>
      </c>
      <c r="H353" s="191">
        <v>30754</v>
      </c>
      <c r="I353" s="172">
        <f t="shared" si="15"/>
        <v>30754</v>
      </c>
      <c r="J353" s="111"/>
      <c r="L353" s="41">
        <f>VLOOKUP(E353,[3]단가!B$4:M$724,12,0)</f>
        <v>30754</v>
      </c>
      <c r="M353" s="118">
        <f t="shared" si="16"/>
        <v>0</v>
      </c>
      <c r="N353" s="481">
        <f t="shared" si="17"/>
        <v>0</v>
      </c>
    </row>
    <row r="354" spans="1:14">
      <c r="A354" s="111">
        <v>351</v>
      </c>
      <c r="B354" s="111" t="s">
        <v>745</v>
      </c>
      <c r="C354" s="111" t="s">
        <v>214</v>
      </c>
      <c r="D354" s="111" t="s">
        <v>747</v>
      </c>
      <c r="E354" s="111" t="s">
        <v>1353</v>
      </c>
      <c r="F354" s="111" t="s">
        <v>552</v>
      </c>
      <c r="G354" s="111" t="s">
        <v>552</v>
      </c>
      <c r="H354" s="172">
        <v>6830</v>
      </c>
      <c r="I354" s="172">
        <f t="shared" si="15"/>
        <v>6830</v>
      </c>
      <c r="J354" s="111" t="s">
        <v>1354</v>
      </c>
      <c r="L354" s="41">
        <f>VLOOKUP(E354,[3]단가!B$4:M$724,12,0)</f>
        <v>6830</v>
      </c>
      <c r="M354" s="118">
        <f t="shared" si="16"/>
        <v>0</v>
      </c>
      <c r="N354" s="481">
        <f t="shared" si="17"/>
        <v>0</v>
      </c>
    </row>
    <row r="355" spans="1:14">
      <c r="A355" s="111">
        <v>352</v>
      </c>
      <c r="B355" s="111" t="s">
        <v>745</v>
      </c>
      <c r="C355" s="111" t="s">
        <v>1355</v>
      </c>
      <c r="D355" s="111" t="s">
        <v>1530</v>
      </c>
      <c r="E355" s="111" t="s">
        <v>1356</v>
      </c>
      <c r="F355" s="111"/>
      <c r="G355" s="111" t="s">
        <v>1355</v>
      </c>
      <c r="H355" s="172">
        <v>132071</v>
      </c>
      <c r="I355" s="172">
        <f t="shared" si="15"/>
        <v>145278.1</v>
      </c>
      <c r="J355" s="111" t="s">
        <v>1354</v>
      </c>
      <c r="L355" s="41">
        <f>VLOOKUP(E355,[3]단가!B$4:M$724,12,0)</f>
        <v>132071</v>
      </c>
      <c r="M355" s="118">
        <f t="shared" si="16"/>
        <v>0</v>
      </c>
      <c r="N355" s="481">
        <f t="shared" si="17"/>
        <v>0</v>
      </c>
    </row>
    <row r="356" spans="1:14">
      <c r="A356" s="111">
        <v>353</v>
      </c>
      <c r="B356" s="111" t="s">
        <v>745</v>
      </c>
      <c r="C356" s="111" t="s">
        <v>1357</v>
      </c>
      <c r="D356" s="111" t="s">
        <v>747</v>
      </c>
      <c r="E356" s="111" t="s">
        <v>1358</v>
      </c>
      <c r="F356" s="111"/>
      <c r="G356" s="111"/>
      <c r="H356" s="172">
        <v>116379</v>
      </c>
      <c r="I356" s="172">
        <f t="shared" si="15"/>
        <v>116379</v>
      </c>
      <c r="J356" s="111"/>
      <c r="L356" s="41">
        <f>VLOOKUP(E356,[3]단가!B$4:M$724,12,0)</f>
        <v>116379</v>
      </c>
      <c r="M356" s="118">
        <f t="shared" si="16"/>
        <v>0</v>
      </c>
      <c r="N356" s="481">
        <f t="shared" si="17"/>
        <v>0</v>
      </c>
    </row>
    <row r="357" spans="1:14">
      <c r="A357" s="111">
        <v>354</v>
      </c>
      <c r="B357" s="111" t="s">
        <v>745</v>
      </c>
      <c r="C357" s="111" t="s">
        <v>1359</v>
      </c>
      <c r="D357" s="111" t="s">
        <v>747</v>
      </c>
      <c r="E357" s="111" t="s">
        <v>1360</v>
      </c>
      <c r="F357" s="111"/>
      <c r="G357" s="111"/>
      <c r="H357" s="172">
        <v>46848</v>
      </c>
      <c r="I357" s="172">
        <f t="shared" si="15"/>
        <v>46848</v>
      </c>
      <c r="J357" s="111"/>
      <c r="L357" s="41">
        <f>VLOOKUP(E357,[3]단가!B$4:M$724,12,0)</f>
        <v>46848</v>
      </c>
      <c r="M357" s="118">
        <f t="shared" si="16"/>
        <v>0</v>
      </c>
      <c r="N357" s="481">
        <f t="shared" si="17"/>
        <v>0</v>
      </c>
    </row>
    <row r="358" spans="1:14">
      <c r="A358" s="111">
        <v>355</v>
      </c>
      <c r="B358" s="111" t="s">
        <v>745</v>
      </c>
      <c r="C358" s="111" t="s">
        <v>1359</v>
      </c>
      <c r="D358" s="111" t="s">
        <v>747</v>
      </c>
      <c r="E358" s="111" t="s">
        <v>1361</v>
      </c>
      <c r="F358" s="111"/>
      <c r="G358" s="111"/>
      <c r="H358" s="172">
        <v>69020</v>
      </c>
      <c r="I358" s="172">
        <f t="shared" si="15"/>
        <v>69020</v>
      </c>
      <c r="J358" s="111"/>
      <c r="L358" s="41">
        <f>VLOOKUP(E358,[3]단가!B$4:M$724,12,0)</f>
        <v>69020</v>
      </c>
      <c r="M358" s="118">
        <f t="shared" si="16"/>
        <v>0</v>
      </c>
      <c r="N358" s="481">
        <f t="shared" si="17"/>
        <v>0</v>
      </c>
    </row>
    <row r="359" spans="1:14">
      <c r="A359" s="111">
        <v>356</v>
      </c>
      <c r="B359" s="111" t="s">
        <v>745</v>
      </c>
      <c r="C359" s="111" t="s">
        <v>1359</v>
      </c>
      <c r="D359" s="111" t="s">
        <v>747</v>
      </c>
      <c r="E359" s="111" t="s">
        <v>1362</v>
      </c>
      <c r="F359" s="111"/>
      <c r="G359" s="111"/>
      <c r="H359" s="172">
        <v>85812</v>
      </c>
      <c r="I359" s="172">
        <f t="shared" si="15"/>
        <v>85812</v>
      </c>
      <c r="J359" s="111"/>
      <c r="L359" s="41">
        <f>VLOOKUP(E359,[3]단가!B$4:M$724,12,0)</f>
        <v>85812</v>
      </c>
      <c r="M359" s="118">
        <f t="shared" si="16"/>
        <v>0</v>
      </c>
      <c r="N359" s="481">
        <f t="shared" si="17"/>
        <v>0</v>
      </c>
    </row>
    <row r="360" spans="1:14">
      <c r="A360" s="111">
        <v>357</v>
      </c>
      <c r="B360" s="111" t="s">
        <v>745</v>
      </c>
      <c r="C360" s="111" t="s">
        <v>1359</v>
      </c>
      <c r="D360" s="111" t="s">
        <v>747</v>
      </c>
      <c r="E360" s="111" t="s">
        <v>1363</v>
      </c>
      <c r="F360" s="111"/>
      <c r="G360" s="111"/>
      <c r="H360" s="172">
        <v>46848</v>
      </c>
      <c r="I360" s="172">
        <f t="shared" si="15"/>
        <v>46848</v>
      </c>
      <c r="J360" s="111"/>
      <c r="L360" s="41">
        <f>VLOOKUP(E360,[3]단가!B$4:M$724,12,0)</f>
        <v>46848</v>
      </c>
      <c r="M360" s="118">
        <f t="shared" si="16"/>
        <v>0</v>
      </c>
      <c r="N360" s="481">
        <f t="shared" si="17"/>
        <v>0</v>
      </c>
    </row>
    <row r="361" spans="1:14">
      <c r="A361" s="111">
        <v>358</v>
      </c>
      <c r="B361" s="111" t="s">
        <v>745</v>
      </c>
      <c r="C361" s="111" t="s">
        <v>1359</v>
      </c>
      <c r="D361" s="111" t="s">
        <v>747</v>
      </c>
      <c r="E361" s="111" t="s">
        <v>1364</v>
      </c>
      <c r="F361" s="111"/>
      <c r="G361" s="111"/>
      <c r="H361" s="172">
        <v>67690</v>
      </c>
      <c r="I361" s="172">
        <f t="shared" si="15"/>
        <v>67690</v>
      </c>
      <c r="J361" s="111"/>
      <c r="L361" s="41">
        <f>VLOOKUP(E361,[3]단가!B$4:M$724,12,0)</f>
        <v>67690</v>
      </c>
      <c r="M361" s="118">
        <f t="shared" si="16"/>
        <v>0</v>
      </c>
      <c r="N361" s="481">
        <f t="shared" si="17"/>
        <v>0</v>
      </c>
    </row>
    <row r="362" spans="1:14">
      <c r="A362" s="111">
        <v>359</v>
      </c>
      <c r="B362" s="111" t="s">
        <v>745</v>
      </c>
      <c r="C362" s="111" t="s">
        <v>1359</v>
      </c>
      <c r="D362" s="111" t="s">
        <v>747</v>
      </c>
      <c r="E362" s="111" t="s">
        <v>1365</v>
      </c>
      <c r="F362" s="111"/>
      <c r="G362" s="111"/>
      <c r="H362" s="172">
        <v>85812</v>
      </c>
      <c r="I362" s="172">
        <f t="shared" si="15"/>
        <v>85812</v>
      </c>
      <c r="J362" s="111"/>
      <c r="L362" s="41">
        <f>VLOOKUP(E362,[3]단가!B$4:M$724,12,0)</f>
        <v>85812</v>
      </c>
      <c r="M362" s="118">
        <f t="shared" si="16"/>
        <v>0</v>
      </c>
      <c r="N362" s="481">
        <f t="shared" si="17"/>
        <v>0</v>
      </c>
    </row>
    <row r="363" spans="1:14">
      <c r="A363" s="111">
        <v>360</v>
      </c>
      <c r="B363" s="111" t="s">
        <v>745</v>
      </c>
      <c r="C363" s="111" t="s">
        <v>1359</v>
      </c>
      <c r="D363" s="111" t="s">
        <v>747</v>
      </c>
      <c r="E363" s="111" t="s">
        <v>1366</v>
      </c>
      <c r="F363" s="111"/>
      <c r="G363" s="111"/>
      <c r="H363" s="172">
        <v>116379</v>
      </c>
      <c r="I363" s="172">
        <f t="shared" si="15"/>
        <v>116379</v>
      </c>
      <c r="J363" s="111"/>
      <c r="L363" s="41">
        <f>VLOOKUP(E363,[3]단가!B$4:M$724,12,0)</f>
        <v>116379</v>
      </c>
      <c r="M363" s="118">
        <f t="shared" si="16"/>
        <v>0</v>
      </c>
      <c r="N363" s="481">
        <f t="shared" si="17"/>
        <v>0</v>
      </c>
    </row>
    <row r="364" spans="1:14">
      <c r="A364" s="111">
        <v>361</v>
      </c>
      <c r="B364" s="111" t="s">
        <v>745</v>
      </c>
      <c r="C364" s="111" t="s">
        <v>1359</v>
      </c>
      <c r="D364" s="111" t="s">
        <v>747</v>
      </c>
      <c r="E364" s="111" t="s">
        <v>1367</v>
      </c>
      <c r="F364" s="111" t="s">
        <v>1359</v>
      </c>
      <c r="G364" s="111"/>
      <c r="H364" s="172">
        <v>268386</v>
      </c>
      <c r="I364" s="172">
        <f t="shared" si="15"/>
        <v>268386</v>
      </c>
      <c r="J364" s="111"/>
      <c r="L364" s="41">
        <f>VLOOKUP(E364,[3]단가!B$4:M$724,12,0)</f>
        <v>268386</v>
      </c>
      <c r="M364" s="118">
        <f t="shared" si="16"/>
        <v>0</v>
      </c>
      <c r="N364" s="481">
        <f t="shared" si="17"/>
        <v>0</v>
      </c>
    </row>
    <row r="365" spans="1:14">
      <c r="A365" s="111">
        <v>362</v>
      </c>
      <c r="B365" s="111" t="s">
        <v>745</v>
      </c>
      <c r="C365" s="111" t="s">
        <v>1359</v>
      </c>
      <c r="D365" s="111" t="s">
        <v>747</v>
      </c>
      <c r="E365" s="111" t="s">
        <v>1368</v>
      </c>
      <c r="F365" s="111"/>
      <c r="G365" s="111"/>
      <c r="H365" s="172">
        <v>67690</v>
      </c>
      <c r="I365" s="172">
        <f t="shared" si="15"/>
        <v>67690</v>
      </c>
      <c r="J365" s="111"/>
      <c r="L365" s="41">
        <f>VLOOKUP(E365,[3]단가!B$4:M$724,12,0)</f>
        <v>67690</v>
      </c>
      <c r="M365" s="118">
        <f t="shared" si="16"/>
        <v>0</v>
      </c>
      <c r="N365" s="481">
        <f t="shared" si="17"/>
        <v>0</v>
      </c>
    </row>
    <row r="366" spans="1:14">
      <c r="A366" s="111">
        <v>363</v>
      </c>
      <c r="B366" s="111" t="s">
        <v>745</v>
      </c>
      <c r="C366" s="111" t="s">
        <v>1359</v>
      </c>
      <c r="D366" s="111" t="s">
        <v>747</v>
      </c>
      <c r="E366" s="111" t="s">
        <v>1369</v>
      </c>
      <c r="F366" s="111"/>
      <c r="G366" s="111"/>
      <c r="H366" s="172">
        <v>67690</v>
      </c>
      <c r="I366" s="172">
        <f t="shared" si="15"/>
        <v>67690</v>
      </c>
      <c r="J366" s="111"/>
      <c r="L366" s="41">
        <f>VLOOKUP(E366,[3]단가!B$4:M$724,12,0)</f>
        <v>67690</v>
      </c>
      <c r="M366" s="118">
        <f t="shared" si="16"/>
        <v>0</v>
      </c>
      <c r="N366" s="481">
        <f t="shared" si="17"/>
        <v>0</v>
      </c>
    </row>
    <row r="367" spans="1:14">
      <c r="A367" s="111">
        <v>364</v>
      </c>
      <c r="B367" s="111" t="s">
        <v>745</v>
      </c>
      <c r="C367" s="111" t="s">
        <v>1370</v>
      </c>
      <c r="D367" s="111" t="s">
        <v>1530</v>
      </c>
      <c r="E367" s="111" t="s">
        <v>1371</v>
      </c>
      <c r="F367" s="111" t="s">
        <v>1250</v>
      </c>
      <c r="G367" s="111" t="s">
        <v>1372</v>
      </c>
      <c r="H367" s="191">
        <v>709346</v>
      </c>
      <c r="I367" s="172">
        <f t="shared" si="15"/>
        <v>780280.60000000009</v>
      </c>
      <c r="J367" s="111"/>
      <c r="L367" s="41">
        <f>VLOOKUP(E367,[3]단가!B$4:M$724,12,0)</f>
        <v>709346</v>
      </c>
      <c r="M367" s="118">
        <f t="shared" si="16"/>
        <v>0</v>
      </c>
      <c r="N367" s="481">
        <f t="shared" si="17"/>
        <v>0</v>
      </c>
    </row>
    <row r="368" spans="1:14">
      <c r="A368" s="111">
        <v>365</v>
      </c>
      <c r="B368" s="111" t="s">
        <v>745</v>
      </c>
      <c r="C368" s="111" t="s">
        <v>1370</v>
      </c>
      <c r="D368" s="111" t="s">
        <v>1530</v>
      </c>
      <c r="E368" s="111" t="s">
        <v>1373</v>
      </c>
      <c r="F368" s="111" t="s">
        <v>1250</v>
      </c>
      <c r="G368" s="111" t="s">
        <v>1372</v>
      </c>
      <c r="H368" s="191">
        <v>709346</v>
      </c>
      <c r="I368" s="172">
        <f t="shared" si="15"/>
        <v>780280.60000000009</v>
      </c>
      <c r="J368" s="111"/>
      <c r="L368" s="41">
        <f>VLOOKUP(E368,[3]단가!B$4:M$724,12,0)</f>
        <v>709346</v>
      </c>
      <c r="M368" s="118">
        <f t="shared" si="16"/>
        <v>0</v>
      </c>
      <c r="N368" s="481">
        <f t="shared" si="17"/>
        <v>0</v>
      </c>
    </row>
    <row r="369" spans="1:14">
      <c r="A369" s="111">
        <v>366</v>
      </c>
      <c r="B369" s="111" t="s">
        <v>745</v>
      </c>
      <c r="C369" s="111" t="s">
        <v>1370</v>
      </c>
      <c r="D369" s="111" t="s">
        <v>1530</v>
      </c>
      <c r="E369" s="111" t="s">
        <v>1374</v>
      </c>
      <c r="F369" s="111" t="s">
        <v>1250</v>
      </c>
      <c r="G369" s="111" t="s">
        <v>1375</v>
      </c>
      <c r="H369" s="191">
        <v>722100</v>
      </c>
      <c r="I369" s="172">
        <f t="shared" si="15"/>
        <v>794310.00000000012</v>
      </c>
      <c r="J369" s="111"/>
      <c r="L369" s="41">
        <f>VLOOKUP(E369,[3]단가!B$4:M$724,12,0)</f>
        <v>722100</v>
      </c>
      <c r="M369" s="118">
        <f t="shared" si="16"/>
        <v>0</v>
      </c>
      <c r="N369" s="481">
        <f t="shared" si="17"/>
        <v>0</v>
      </c>
    </row>
    <row r="370" spans="1:14">
      <c r="A370" s="111">
        <v>367</v>
      </c>
      <c r="B370" s="111" t="s">
        <v>745</v>
      </c>
      <c r="C370" s="111" t="s">
        <v>1370</v>
      </c>
      <c r="D370" s="111" t="s">
        <v>1530</v>
      </c>
      <c r="E370" s="111" t="s">
        <v>1376</v>
      </c>
      <c r="F370" s="111" t="s">
        <v>1250</v>
      </c>
      <c r="G370" s="111" t="s">
        <v>1375</v>
      </c>
      <c r="H370" s="191">
        <v>745938</v>
      </c>
      <c r="I370" s="172">
        <f t="shared" si="15"/>
        <v>820531.8</v>
      </c>
      <c r="J370" s="111"/>
      <c r="L370" s="41">
        <f>VLOOKUP(E370,[3]단가!B$4:M$724,12,0)</f>
        <v>745938</v>
      </c>
      <c r="M370" s="118">
        <f t="shared" si="16"/>
        <v>0</v>
      </c>
      <c r="N370" s="481">
        <f t="shared" si="17"/>
        <v>0</v>
      </c>
    </row>
    <row r="371" spans="1:14">
      <c r="A371" s="111">
        <v>368</v>
      </c>
      <c r="B371" s="111" t="s">
        <v>745</v>
      </c>
      <c r="C371" s="111" t="s">
        <v>1370</v>
      </c>
      <c r="D371" s="111" t="s">
        <v>1530</v>
      </c>
      <c r="E371" s="111" t="s">
        <v>1377</v>
      </c>
      <c r="F371" s="111" t="s">
        <v>1250</v>
      </c>
      <c r="G371" s="111" t="s">
        <v>1375</v>
      </c>
      <c r="H371" s="191">
        <v>722100</v>
      </c>
      <c r="I371" s="172">
        <f t="shared" si="15"/>
        <v>794310.00000000012</v>
      </c>
      <c r="J371" s="111"/>
      <c r="L371" s="41">
        <f>VLOOKUP(E371,[3]단가!B$4:M$724,12,0)</f>
        <v>722100</v>
      </c>
      <c r="M371" s="118">
        <f t="shared" si="16"/>
        <v>0</v>
      </c>
      <c r="N371" s="481">
        <f t="shared" si="17"/>
        <v>0</v>
      </c>
    </row>
    <row r="372" spans="1:14">
      <c r="A372" s="111">
        <v>369</v>
      </c>
      <c r="B372" s="111" t="s">
        <v>745</v>
      </c>
      <c r="C372" s="111" t="s">
        <v>1370</v>
      </c>
      <c r="D372" s="111" t="s">
        <v>1530</v>
      </c>
      <c r="E372" s="111" t="s">
        <v>1378</v>
      </c>
      <c r="F372" s="111" t="s">
        <v>1250</v>
      </c>
      <c r="G372" s="111" t="s">
        <v>1375</v>
      </c>
      <c r="H372" s="191">
        <v>745938</v>
      </c>
      <c r="I372" s="172">
        <f t="shared" si="15"/>
        <v>820531.8</v>
      </c>
      <c r="J372" s="111"/>
      <c r="L372" s="41">
        <f>VLOOKUP(E372,[3]단가!B$4:M$724,12,0)</f>
        <v>745938</v>
      </c>
      <c r="M372" s="118">
        <f t="shared" si="16"/>
        <v>0</v>
      </c>
      <c r="N372" s="481">
        <f t="shared" si="17"/>
        <v>0</v>
      </c>
    </row>
    <row r="373" spans="1:14">
      <c r="A373" s="111">
        <v>370</v>
      </c>
      <c r="B373" s="111" t="s">
        <v>745</v>
      </c>
      <c r="C373" s="111" t="s">
        <v>1370</v>
      </c>
      <c r="D373" s="111" t="s">
        <v>1530</v>
      </c>
      <c r="E373" s="111" t="s">
        <v>1379</v>
      </c>
      <c r="F373" s="111" t="s">
        <v>1250</v>
      </c>
      <c r="G373" s="111" t="s">
        <v>1380</v>
      </c>
      <c r="H373" s="191">
        <v>889421</v>
      </c>
      <c r="I373" s="172">
        <f t="shared" si="15"/>
        <v>978363.10000000009</v>
      </c>
      <c r="J373" s="111"/>
      <c r="L373" s="41">
        <f>VLOOKUP(E373,[3]단가!B$4:M$724,12,0)</f>
        <v>889421</v>
      </c>
      <c r="M373" s="118">
        <f t="shared" si="16"/>
        <v>0</v>
      </c>
      <c r="N373" s="481">
        <f t="shared" si="17"/>
        <v>0</v>
      </c>
    </row>
    <row r="374" spans="1:14">
      <c r="A374" s="111">
        <v>371</v>
      </c>
      <c r="B374" s="111" t="s">
        <v>745</v>
      </c>
      <c r="C374" s="111" t="s">
        <v>1370</v>
      </c>
      <c r="D374" s="111" t="s">
        <v>1530</v>
      </c>
      <c r="E374" s="111" t="s">
        <v>1381</v>
      </c>
      <c r="F374" s="111" t="s">
        <v>1250</v>
      </c>
      <c r="G374" s="111" t="s">
        <v>1380</v>
      </c>
      <c r="H374" s="191">
        <v>889421</v>
      </c>
      <c r="I374" s="172">
        <f t="shared" si="15"/>
        <v>978363.10000000009</v>
      </c>
      <c r="J374" s="111"/>
      <c r="L374" s="41">
        <f>VLOOKUP(E374,[3]단가!B$4:M$724,12,0)</f>
        <v>889421</v>
      </c>
      <c r="M374" s="118">
        <f t="shared" si="16"/>
        <v>0</v>
      </c>
      <c r="N374" s="481">
        <f t="shared" si="17"/>
        <v>0</v>
      </c>
    </row>
    <row r="375" spans="1:14">
      <c r="A375" s="111">
        <v>372</v>
      </c>
      <c r="B375" s="111" t="s">
        <v>745</v>
      </c>
      <c r="C375" s="111" t="s">
        <v>1370</v>
      </c>
      <c r="D375" s="111" t="s">
        <v>1530</v>
      </c>
      <c r="E375" s="111" t="s">
        <v>1382</v>
      </c>
      <c r="F375" s="111" t="s">
        <v>1267</v>
      </c>
      <c r="G375" s="111" t="s">
        <v>1383</v>
      </c>
      <c r="H375" s="191">
        <v>1111024</v>
      </c>
      <c r="I375" s="172">
        <f t="shared" si="15"/>
        <v>1222126.4000000001</v>
      </c>
      <c r="J375" s="111"/>
      <c r="L375" s="41">
        <f>VLOOKUP(E375,[3]단가!B$4:M$724,12,0)</f>
        <v>1111024</v>
      </c>
      <c r="M375" s="118">
        <f t="shared" si="16"/>
        <v>0</v>
      </c>
      <c r="N375" s="481">
        <f t="shared" si="17"/>
        <v>0</v>
      </c>
    </row>
    <row r="376" spans="1:14">
      <c r="A376" s="111">
        <v>373</v>
      </c>
      <c r="B376" s="111" t="s">
        <v>745</v>
      </c>
      <c r="C376" s="111" t="s">
        <v>1370</v>
      </c>
      <c r="D376" s="111" t="s">
        <v>1530</v>
      </c>
      <c r="E376" s="111" t="s">
        <v>1384</v>
      </c>
      <c r="F376" s="111" t="s">
        <v>1267</v>
      </c>
      <c r="G376" s="111" t="s">
        <v>1385</v>
      </c>
      <c r="H376" s="191">
        <v>1132938</v>
      </c>
      <c r="I376" s="172">
        <f t="shared" si="15"/>
        <v>1246231.8</v>
      </c>
      <c r="J376" s="111"/>
      <c r="L376" s="41">
        <f>VLOOKUP(E376,[3]단가!B$4:M$724,12,0)</f>
        <v>1132938</v>
      </c>
      <c r="M376" s="118">
        <f t="shared" si="16"/>
        <v>0</v>
      </c>
      <c r="N376" s="481">
        <f t="shared" si="17"/>
        <v>0</v>
      </c>
    </row>
    <row r="377" spans="1:14">
      <c r="A377" s="111">
        <v>374</v>
      </c>
      <c r="B377" s="111" t="s">
        <v>745</v>
      </c>
      <c r="C377" s="111" t="s">
        <v>1370</v>
      </c>
      <c r="D377" s="111" t="s">
        <v>1530</v>
      </c>
      <c r="E377" s="111" t="s">
        <v>1386</v>
      </c>
      <c r="F377" s="111" t="s">
        <v>1267</v>
      </c>
      <c r="G377" s="111" t="s">
        <v>1387</v>
      </c>
      <c r="H377" s="191">
        <v>1143429</v>
      </c>
      <c r="I377" s="172">
        <f t="shared" si="15"/>
        <v>1257771.9000000001</v>
      </c>
      <c r="J377" s="111"/>
      <c r="L377" s="41">
        <f>VLOOKUP(E377,[3]단가!B$4:M$724,12,0)</f>
        <v>1143429</v>
      </c>
      <c r="M377" s="118">
        <f t="shared" si="16"/>
        <v>0</v>
      </c>
      <c r="N377" s="481">
        <f t="shared" si="17"/>
        <v>0</v>
      </c>
    </row>
    <row r="378" spans="1:14">
      <c r="A378" s="111">
        <v>375</v>
      </c>
      <c r="B378" s="111" t="s">
        <v>745</v>
      </c>
      <c r="C378" s="111" t="s">
        <v>1370</v>
      </c>
      <c r="D378" s="111" t="s">
        <v>1530</v>
      </c>
      <c r="E378" s="111" t="s">
        <v>1388</v>
      </c>
      <c r="F378" s="111" t="s">
        <v>1267</v>
      </c>
      <c r="G378" s="111" t="s">
        <v>1389</v>
      </c>
      <c r="H378" s="191">
        <v>1111024</v>
      </c>
      <c r="I378" s="172">
        <f t="shared" si="15"/>
        <v>1222126.4000000001</v>
      </c>
      <c r="J378" s="111"/>
      <c r="L378" s="41">
        <f>VLOOKUP(E378,[3]단가!B$4:M$724,12,0)</f>
        <v>1111024</v>
      </c>
      <c r="M378" s="118">
        <f t="shared" si="16"/>
        <v>0</v>
      </c>
      <c r="N378" s="481">
        <f t="shared" si="17"/>
        <v>0</v>
      </c>
    </row>
    <row r="379" spans="1:14">
      <c r="A379" s="111">
        <v>376</v>
      </c>
      <c r="B379" s="111" t="s">
        <v>745</v>
      </c>
      <c r="C379" s="111" t="s">
        <v>1370</v>
      </c>
      <c r="D379" s="111" t="s">
        <v>1530</v>
      </c>
      <c r="E379" s="111" t="s">
        <v>1390</v>
      </c>
      <c r="F379" s="111" t="s">
        <v>1267</v>
      </c>
      <c r="G379" s="111" t="s">
        <v>1391</v>
      </c>
      <c r="H379" s="191">
        <v>1132938</v>
      </c>
      <c r="I379" s="172">
        <f t="shared" si="15"/>
        <v>1246231.8</v>
      </c>
      <c r="J379" s="111"/>
      <c r="L379" s="41">
        <f>VLOOKUP(E379,[3]단가!B$4:M$724,12,0)</f>
        <v>1132938</v>
      </c>
      <c r="M379" s="118">
        <f t="shared" si="16"/>
        <v>0</v>
      </c>
      <c r="N379" s="481">
        <f t="shared" si="17"/>
        <v>0</v>
      </c>
    </row>
    <row r="380" spans="1:14">
      <c r="A380" s="111">
        <v>377</v>
      </c>
      <c r="B380" s="111" t="s">
        <v>745</v>
      </c>
      <c r="C380" s="111" t="s">
        <v>1370</v>
      </c>
      <c r="D380" s="111" t="s">
        <v>1530</v>
      </c>
      <c r="E380" s="111" t="s">
        <v>1392</v>
      </c>
      <c r="F380" s="111" t="s">
        <v>1267</v>
      </c>
      <c r="G380" s="111" t="s">
        <v>1393</v>
      </c>
      <c r="H380" s="191">
        <v>1143429</v>
      </c>
      <c r="I380" s="172">
        <f t="shared" si="15"/>
        <v>1257771.9000000001</v>
      </c>
      <c r="J380" s="111"/>
      <c r="L380" s="41">
        <f>VLOOKUP(E380,[3]단가!B$4:M$724,12,0)</f>
        <v>1143429</v>
      </c>
      <c r="M380" s="118">
        <f t="shared" si="16"/>
        <v>0</v>
      </c>
      <c r="N380" s="481">
        <f t="shared" si="17"/>
        <v>0</v>
      </c>
    </row>
    <row r="381" spans="1:14">
      <c r="A381" s="111">
        <v>378</v>
      </c>
      <c r="B381" s="111" t="s">
        <v>745</v>
      </c>
      <c r="C381" s="111" t="s">
        <v>1370</v>
      </c>
      <c r="D381" s="111" t="s">
        <v>1530</v>
      </c>
      <c r="E381" s="111" t="s">
        <v>1394</v>
      </c>
      <c r="F381" s="111" t="s">
        <v>1267</v>
      </c>
      <c r="G381" s="111" t="s">
        <v>1395</v>
      </c>
      <c r="H381" s="191">
        <v>1787902</v>
      </c>
      <c r="I381" s="172">
        <f t="shared" si="15"/>
        <v>1966692.2000000002</v>
      </c>
      <c r="J381" s="111"/>
      <c r="L381" s="41">
        <f>VLOOKUP(E381,[3]단가!B$4:M$724,12,0)</f>
        <v>1787902</v>
      </c>
      <c r="M381" s="118">
        <f t="shared" si="16"/>
        <v>0</v>
      </c>
      <c r="N381" s="481">
        <f t="shared" si="17"/>
        <v>0</v>
      </c>
    </row>
    <row r="382" spans="1:14">
      <c r="A382" s="111">
        <v>379</v>
      </c>
      <c r="B382" s="111" t="s">
        <v>745</v>
      </c>
      <c r="C382" s="111" t="s">
        <v>1370</v>
      </c>
      <c r="D382" s="111" t="s">
        <v>1530</v>
      </c>
      <c r="E382" s="111" t="s">
        <v>1396</v>
      </c>
      <c r="F382" s="111" t="s">
        <v>1267</v>
      </c>
      <c r="G382" s="111" t="s">
        <v>1397</v>
      </c>
      <c r="H382" s="191">
        <v>1787902</v>
      </c>
      <c r="I382" s="172">
        <f t="shared" si="15"/>
        <v>1966692.2000000002</v>
      </c>
      <c r="J382" s="111"/>
      <c r="L382" s="41">
        <f>VLOOKUP(E382,[3]단가!B$4:M$724,12,0)</f>
        <v>1787902</v>
      </c>
      <c r="M382" s="118">
        <f t="shared" si="16"/>
        <v>0</v>
      </c>
      <c r="N382" s="481">
        <f t="shared" si="17"/>
        <v>0</v>
      </c>
    </row>
    <row r="383" spans="1:14">
      <c r="A383" s="111">
        <v>380</v>
      </c>
      <c r="B383" s="111" t="s">
        <v>745</v>
      </c>
      <c r="C383" s="111" t="s">
        <v>1398</v>
      </c>
      <c r="D383" s="111" t="s">
        <v>747</v>
      </c>
      <c r="E383" s="111" t="s">
        <v>1399</v>
      </c>
      <c r="F383" s="111" t="s">
        <v>1398</v>
      </c>
      <c r="G383" s="111"/>
      <c r="H383" s="172">
        <v>10982</v>
      </c>
      <c r="I383" s="172">
        <f t="shared" si="15"/>
        <v>10982</v>
      </c>
      <c r="J383" s="111"/>
      <c r="L383" s="41">
        <f>VLOOKUP(E383,[3]단가!B$4:M$724,12,0)</f>
        <v>10982</v>
      </c>
      <c r="M383" s="118">
        <f t="shared" si="16"/>
        <v>0</v>
      </c>
      <c r="N383" s="481">
        <f t="shared" si="17"/>
        <v>0</v>
      </c>
    </row>
    <row r="384" spans="1:14">
      <c r="A384" s="111">
        <v>381</v>
      </c>
      <c r="B384" s="111" t="s">
        <v>745</v>
      </c>
      <c r="C384" s="111" t="s">
        <v>1398</v>
      </c>
      <c r="D384" s="111" t="s">
        <v>747</v>
      </c>
      <c r="E384" s="111" t="s">
        <v>1400</v>
      </c>
      <c r="F384" s="111" t="s">
        <v>1398</v>
      </c>
      <c r="G384" s="111"/>
      <c r="H384" s="172">
        <v>7612</v>
      </c>
      <c r="I384" s="172">
        <f t="shared" si="15"/>
        <v>7612</v>
      </c>
      <c r="J384" s="111"/>
      <c r="L384" s="41">
        <f>VLOOKUP(E384,[3]단가!B$4:M$724,12,0)</f>
        <v>7612</v>
      </c>
      <c r="M384" s="118">
        <f t="shared" si="16"/>
        <v>0</v>
      </c>
      <c r="N384" s="481">
        <f t="shared" si="17"/>
        <v>0</v>
      </c>
    </row>
    <row r="385" spans="1:14">
      <c r="A385" s="111">
        <v>382</v>
      </c>
      <c r="B385" s="111" t="s">
        <v>745</v>
      </c>
      <c r="C385" s="111" t="s">
        <v>1398</v>
      </c>
      <c r="D385" s="111" t="s">
        <v>747</v>
      </c>
      <c r="E385" s="111" t="s">
        <v>1401</v>
      </c>
      <c r="F385" s="111" t="s">
        <v>1398</v>
      </c>
      <c r="G385" s="111"/>
      <c r="H385" s="172">
        <v>9947</v>
      </c>
      <c r="I385" s="172">
        <f t="shared" si="15"/>
        <v>9947</v>
      </c>
      <c r="J385" s="111"/>
      <c r="L385" s="41">
        <f>VLOOKUP(E385,[3]단가!B$4:M$724,12,0)</f>
        <v>9947</v>
      </c>
      <c r="M385" s="118">
        <f t="shared" si="16"/>
        <v>0</v>
      </c>
      <c r="N385" s="481">
        <f t="shared" si="17"/>
        <v>0</v>
      </c>
    </row>
    <row r="386" spans="1:14">
      <c r="A386" s="111">
        <v>383</v>
      </c>
      <c r="B386" s="111" t="s">
        <v>745</v>
      </c>
      <c r="C386" s="111" t="s">
        <v>1402</v>
      </c>
      <c r="D386" s="111" t="s">
        <v>747</v>
      </c>
      <c r="E386" s="111" t="s">
        <v>1403</v>
      </c>
      <c r="F386" s="111" t="s">
        <v>1404</v>
      </c>
      <c r="G386" s="111" t="s">
        <v>1405</v>
      </c>
      <c r="H386" s="191">
        <v>90098</v>
      </c>
      <c r="I386" s="172">
        <f t="shared" si="15"/>
        <v>90098</v>
      </c>
      <c r="J386" s="111"/>
      <c r="L386" s="41">
        <f>VLOOKUP(E386,[3]단가!B$4:M$724,12,0)</f>
        <v>90098</v>
      </c>
      <c r="M386" s="118">
        <f t="shared" si="16"/>
        <v>0</v>
      </c>
      <c r="N386" s="481">
        <f t="shared" si="17"/>
        <v>0</v>
      </c>
    </row>
    <row r="387" spans="1:14">
      <c r="A387" s="111">
        <v>384</v>
      </c>
      <c r="B387" s="111" t="s">
        <v>745</v>
      </c>
      <c r="C387" s="111" t="s">
        <v>1402</v>
      </c>
      <c r="D387" s="111" t="s">
        <v>747</v>
      </c>
      <c r="E387" s="111" t="s">
        <v>1406</v>
      </c>
      <c r="F387" s="111" t="s">
        <v>1407</v>
      </c>
      <c r="G387" s="111" t="s">
        <v>1408</v>
      </c>
      <c r="H387" s="191">
        <v>107789</v>
      </c>
      <c r="I387" s="172">
        <f t="shared" si="15"/>
        <v>107789</v>
      </c>
      <c r="J387" s="111"/>
      <c r="L387" s="41">
        <f>VLOOKUP(E387,[3]단가!B$4:M$724,12,0)</f>
        <v>107789</v>
      </c>
      <c r="M387" s="118">
        <f t="shared" si="16"/>
        <v>0</v>
      </c>
      <c r="N387" s="481">
        <f t="shared" si="17"/>
        <v>0</v>
      </c>
    </row>
    <row r="388" spans="1:14">
      <c r="A388" s="111">
        <v>385</v>
      </c>
      <c r="B388" s="111" t="s">
        <v>1011</v>
      </c>
      <c r="C388" s="111" t="s">
        <v>1409</v>
      </c>
      <c r="D388" s="111" t="s">
        <v>1530</v>
      </c>
      <c r="E388" s="111" t="s">
        <v>1410</v>
      </c>
      <c r="F388" s="111" t="s">
        <v>1048</v>
      </c>
      <c r="G388" s="111" t="s">
        <v>1100</v>
      </c>
      <c r="H388" s="172">
        <v>152167</v>
      </c>
      <c r="I388" s="172">
        <f t="shared" si="15"/>
        <v>167383.70000000001</v>
      </c>
      <c r="J388" s="111"/>
      <c r="L388" s="41">
        <f>VLOOKUP(E388,[3]단가!B$4:M$724,12,0)</f>
        <v>152167</v>
      </c>
      <c r="M388" s="118">
        <f t="shared" si="16"/>
        <v>0</v>
      </c>
      <c r="N388" s="481">
        <f t="shared" si="17"/>
        <v>0</v>
      </c>
    </row>
    <row r="389" spans="1:14">
      <c r="A389" s="111">
        <v>386</v>
      </c>
      <c r="B389" s="111" t="s">
        <v>1011</v>
      </c>
      <c r="C389" s="111" t="s">
        <v>1409</v>
      </c>
      <c r="D389" s="111" t="s">
        <v>1530</v>
      </c>
      <c r="E389" s="111" t="s">
        <v>1411</v>
      </c>
      <c r="F389" s="111" t="s">
        <v>1051</v>
      </c>
      <c r="G389" s="111" t="s">
        <v>1100</v>
      </c>
      <c r="H389" s="172">
        <v>152167</v>
      </c>
      <c r="I389" s="172">
        <f t="shared" ref="I389:I452" si="18">IF(D389="Y",H389*$I$3,H389*$J$3)</f>
        <v>167383.70000000001</v>
      </c>
      <c r="J389" s="111"/>
      <c r="L389" s="41">
        <v>152167</v>
      </c>
      <c r="M389" s="118">
        <f t="shared" si="16"/>
        <v>0</v>
      </c>
      <c r="N389" s="481">
        <f t="shared" si="17"/>
        <v>0</v>
      </c>
    </row>
    <row r="390" spans="1:14">
      <c r="A390" s="111">
        <v>387</v>
      </c>
      <c r="B390" s="111" t="s">
        <v>1011</v>
      </c>
      <c r="C390" s="111" t="s">
        <v>1409</v>
      </c>
      <c r="D390" s="111" t="s">
        <v>1530</v>
      </c>
      <c r="E390" s="111" t="s">
        <v>1412</v>
      </c>
      <c r="F390" s="111" t="s">
        <v>1054</v>
      </c>
      <c r="G390" s="111" t="s">
        <v>1100</v>
      </c>
      <c r="H390" s="172">
        <v>152167</v>
      </c>
      <c r="I390" s="172">
        <f t="shared" si="18"/>
        <v>167383.70000000001</v>
      </c>
      <c r="J390" s="111"/>
      <c r="L390" s="41">
        <v>152167</v>
      </c>
      <c r="M390" s="118">
        <f t="shared" ref="M390:M453" si="19">L390-H390</f>
        <v>0</v>
      </c>
      <c r="N390" s="481">
        <f t="shared" ref="N390:N453" si="20">M390/H390</f>
        <v>0</v>
      </c>
    </row>
    <row r="391" spans="1:14">
      <c r="A391" s="111">
        <v>388</v>
      </c>
      <c r="B391" s="111" t="s">
        <v>1011</v>
      </c>
      <c r="C391" s="111" t="s">
        <v>1409</v>
      </c>
      <c r="D391" s="111" t="s">
        <v>1530</v>
      </c>
      <c r="E391" s="111" t="s">
        <v>1413</v>
      </c>
      <c r="F391" s="111" t="s">
        <v>1057</v>
      </c>
      <c r="G391" s="111" t="s">
        <v>1100</v>
      </c>
      <c r="H391" s="172">
        <v>152167</v>
      </c>
      <c r="I391" s="172">
        <f t="shared" si="18"/>
        <v>167383.70000000001</v>
      </c>
      <c r="J391" s="111"/>
      <c r="L391" s="41">
        <v>152167</v>
      </c>
      <c r="M391" s="118">
        <f t="shared" si="19"/>
        <v>0</v>
      </c>
      <c r="N391" s="481">
        <f t="shared" si="20"/>
        <v>0</v>
      </c>
    </row>
    <row r="392" spans="1:14">
      <c r="A392" s="111">
        <v>389</v>
      </c>
      <c r="B392" s="111" t="s">
        <v>1011</v>
      </c>
      <c r="C392" s="111" t="s">
        <v>1409</v>
      </c>
      <c r="D392" s="111" t="s">
        <v>1530</v>
      </c>
      <c r="E392" s="111" t="s">
        <v>1414</v>
      </c>
      <c r="F392" s="111" t="s">
        <v>1048</v>
      </c>
      <c r="G392" s="111" t="s">
        <v>1100</v>
      </c>
      <c r="H392" s="172">
        <v>152167</v>
      </c>
      <c r="I392" s="172">
        <f t="shared" si="18"/>
        <v>167383.70000000001</v>
      </c>
      <c r="J392" s="111"/>
      <c r="L392" s="41">
        <v>152167</v>
      </c>
      <c r="M392" s="118">
        <f t="shared" si="19"/>
        <v>0</v>
      </c>
      <c r="N392" s="481">
        <f t="shared" si="20"/>
        <v>0</v>
      </c>
    </row>
    <row r="393" spans="1:14">
      <c r="A393" s="111">
        <v>390</v>
      </c>
      <c r="B393" s="111" t="s">
        <v>1011</v>
      </c>
      <c r="C393" s="111" t="s">
        <v>1409</v>
      </c>
      <c r="D393" s="111" t="s">
        <v>1530</v>
      </c>
      <c r="E393" s="111" t="s">
        <v>1415</v>
      </c>
      <c r="F393" s="111" t="s">
        <v>1051</v>
      </c>
      <c r="G393" s="111" t="s">
        <v>1100</v>
      </c>
      <c r="H393" s="172">
        <v>152167</v>
      </c>
      <c r="I393" s="172">
        <f t="shared" si="18"/>
        <v>167383.70000000001</v>
      </c>
      <c r="J393" s="111"/>
      <c r="L393" s="41">
        <v>152167</v>
      </c>
      <c r="M393" s="118">
        <f t="shared" si="19"/>
        <v>0</v>
      </c>
      <c r="N393" s="481">
        <f t="shared" si="20"/>
        <v>0</v>
      </c>
    </row>
    <row r="394" spans="1:14">
      <c r="A394" s="111">
        <v>391</v>
      </c>
      <c r="B394" s="111" t="s">
        <v>1011</v>
      </c>
      <c r="C394" s="111" t="s">
        <v>1409</v>
      </c>
      <c r="D394" s="111" t="s">
        <v>1530</v>
      </c>
      <c r="E394" s="111" t="s">
        <v>1416</v>
      </c>
      <c r="F394" s="111" t="s">
        <v>1054</v>
      </c>
      <c r="G394" s="111" t="s">
        <v>1100</v>
      </c>
      <c r="H394" s="172">
        <v>152167</v>
      </c>
      <c r="I394" s="172">
        <f t="shared" si="18"/>
        <v>167383.70000000001</v>
      </c>
      <c r="J394" s="111"/>
      <c r="L394" s="41">
        <v>152167</v>
      </c>
      <c r="M394" s="118">
        <f t="shared" si="19"/>
        <v>0</v>
      </c>
      <c r="N394" s="481">
        <f t="shared" si="20"/>
        <v>0</v>
      </c>
    </row>
    <row r="395" spans="1:14">
      <c r="A395" s="111">
        <v>392</v>
      </c>
      <c r="B395" s="111" t="s">
        <v>1011</v>
      </c>
      <c r="C395" s="111" t="s">
        <v>1409</v>
      </c>
      <c r="D395" s="111" t="s">
        <v>1530</v>
      </c>
      <c r="E395" s="111" t="s">
        <v>1417</v>
      </c>
      <c r="F395" s="111" t="s">
        <v>1057</v>
      </c>
      <c r="G395" s="111" t="s">
        <v>1100</v>
      </c>
      <c r="H395" s="172">
        <v>152167</v>
      </c>
      <c r="I395" s="172">
        <f t="shared" si="18"/>
        <v>167383.70000000001</v>
      </c>
      <c r="J395" s="111"/>
      <c r="L395" s="41">
        <v>152167</v>
      </c>
      <c r="M395" s="118">
        <f t="shared" si="19"/>
        <v>0</v>
      </c>
      <c r="N395" s="481">
        <f t="shared" si="20"/>
        <v>0</v>
      </c>
    </row>
    <row r="396" spans="1:14">
      <c r="A396" s="111">
        <v>393</v>
      </c>
      <c r="B396" s="111" t="s">
        <v>1011</v>
      </c>
      <c r="C396" s="111" t="s">
        <v>1418</v>
      </c>
      <c r="D396" s="111" t="s">
        <v>1530</v>
      </c>
      <c r="E396" s="111" t="s">
        <v>1419</v>
      </c>
      <c r="F396" s="111" t="s">
        <v>1048</v>
      </c>
      <c r="G396" s="111" t="s">
        <v>1420</v>
      </c>
      <c r="H396" s="172">
        <v>182445</v>
      </c>
      <c r="I396" s="172">
        <f t="shared" si="18"/>
        <v>200689.50000000003</v>
      </c>
      <c r="J396" s="111"/>
      <c r="L396" s="41">
        <v>182445</v>
      </c>
      <c r="M396" s="118">
        <f t="shared" si="19"/>
        <v>0</v>
      </c>
      <c r="N396" s="481">
        <f t="shared" si="20"/>
        <v>0</v>
      </c>
    </row>
    <row r="397" spans="1:14">
      <c r="A397" s="111">
        <v>394</v>
      </c>
      <c r="B397" s="111" t="s">
        <v>1011</v>
      </c>
      <c r="C397" s="111" t="s">
        <v>1418</v>
      </c>
      <c r="D397" s="111" t="s">
        <v>1530</v>
      </c>
      <c r="E397" s="111" t="s">
        <v>1421</v>
      </c>
      <c r="F397" s="111" t="s">
        <v>1051</v>
      </c>
      <c r="G397" s="111" t="s">
        <v>1420</v>
      </c>
      <c r="H397" s="172">
        <v>182445</v>
      </c>
      <c r="I397" s="172">
        <f t="shared" si="18"/>
        <v>200689.50000000003</v>
      </c>
      <c r="J397" s="111"/>
      <c r="L397" s="41">
        <v>182445</v>
      </c>
      <c r="M397" s="118">
        <f t="shared" si="19"/>
        <v>0</v>
      </c>
      <c r="N397" s="481">
        <f t="shared" si="20"/>
        <v>0</v>
      </c>
    </row>
    <row r="398" spans="1:14">
      <c r="A398" s="111">
        <v>395</v>
      </c>
      <c r="B398" s="111" t="s">
        <v>1011</v>
      </c>
      <c r="C398" s="111" t="s">
        <v>1418</v>
      </c>
      <c r="D398" s="111" t="s">
        <v>1530</v>
      </c>
      <c r="E398" s="111" t="s">
        <v>1422</v>
      </c>
      <c r="F398" s="111" t="s">
        <v>1054</v>
      </c>
      <c r="G398" s="111" t="s">
        <v>1420</v>
      </c>
      <c r="H398" s="172">
        <v>182445</v>
      </c>
      <c r="I398" s="172">
        <f t="shared" si="18"/>
        <v>200689.50000000003</v>
      </c>
      <c r="J398" s="111"/>
      <c r="L398" s="41">
        <v>182445</v>
      </c>
      <c r="M398" s="118">
        <f t="shared" si="19"/>
        <v>0</v>
      </c>
      <c r="N398" s="481">
        <f t="shared" si="20"/>
        <v>0</v>
      </c>
    </row>
    <row r="399" spans="1:14">
      <c r="A399" s="111">
        <v>396</v>
      </c>
      <c r="B399" s="111" t="s">
        <v>1011</v>
      </c>
      <c r="C399" s="111" t="s">
        <v>1418</v>
      </c>
      <c r="D399" s="111" t="s">
        <v>1530</v>
      </c>
      <c r="E399" s="111" t="s">
        <v>1423</v>
      </c>
      <c r="F399" s="111" t="s">
        <v>1057</v>
      </c>
      <c r="G399" s="111" t="s">
        <v>1420</v>
      </c>
      <c r="H399" s="172">
        <v>182445</v>
      </c>
      <c r="I399" s="172">
        <f t="shared" si="18"/>
        <v>200689.50000000003</v>
      </c>
      <c r="J399" s="111"/>
      <c r="L399" s="41">
        <v>182445</v>
      </c>
      <c r="M399" s="118">
        <f t="shared" si="19"/>
        <v>0</v>
      </c>
      <c r="N399" s="481">
        <f t="shared" si="20"/>
        <v>0</v>
      </c>
    </row>
    <row r="400" spans="1:14">
      <c r="A400" s="111">
        <v>397</v>
      </c>
      <c r="B400" s="111" t="s">
        <v>1011</v>
      </c>
      <c r="C400" s="111" t="s">
        <v>1418</v>
      </c>
      <c r="D400" s="111" t="s">
        <v>1530</v>
      </c>
      <c r="E400" s="111" t="s">
        <v>1424</v>
      </c>
      <c r="F400" s="111" t="s">
        <v>1048</v>
      </c>
      <c r="G400" s="111" t="s">
        <v>1425</v>
      </c>
      <c r="H400" s="172">
        <v>182445</v>
      </c>
      <c r="I400" s="172">
        <f t="shared" si="18"/>
        <v>200689.50000000003</v>
      </c>
      <c r="J400" s="111"/>
      <c r="L400" s="41">
        <v>182445</v>
      </c>
      <c r="M400" s="118">
        <f t="shared" si="19"/>
        <v>0</v>
      </c>
      <c r="N400" s="481">
        <f t="shared" si="20"/>
        <v>0</v>
      </c>
    </row>
    <row r="401" spans="1:14">
      <c r="A401" s="111">
        <v>398</v>
      </c>
      <c r="B401" s="111" t="s">
        <v>1011</v>
      </c>
      <c r="C401" s="111" t="s">
        <v>1418</v>
      </c>
      <c r="D401" s="111" t="s">
        <v>1530</v>
      </c>
      <c r="E401" s="111" t="s">
        <v>1426</v>
      </c>
      <c r="F401" s="111" t="s">
        <v>1051</v>
      </c>
      <c r="G401" s="111" t="s">
        <v>1425</v>
      </c>
      <c r="H401" s="172">
        <v>182445</v>
      </c>
      <c r="I401" s="172">
        <f t="shared" si="18"/>
        <v>200689.50000000003</v>
      </c>
      <c r="J401" s="111"/>
      <c r="L401" s="41">
        <v>182445</v>
      </c>
      <c r="M401" s="118">
        <f t="shared" si="19"/>
        <v>0</v>
      </c>
      <c r="N401" s="481">
        <f t="shared" si="20"/>
        <v>0</v>
      </c>
    </row>
    <row r="402" spans="1:14">
      <c r="A402" s="111">
        <v>399</v>
      </c>
      <c r="B402" s="111" t="s">
        <v>1011</v>
      </c>
      <c r="C402" s="111" t="s">
        <v>1418</v>
      </c>
      <c r="D402" s="111" t="s">
        <v>1530</v>
      </c>
      <c r="E402" s="111" t="s">
        <v>1427</v>
      </c>
      <c r="F402" s="111" t="s">
        <v>1054</v>
      </c>
      <c r="G402" s="111" t="s">
        <v>1425</v>
      </c>
      <c r="H402" s="172">
        <v>182445</v>
      </c>
      <c r="I402" s="172">
        <f t="shared" si="18"/>
        <v>200689.50000000003</v>
      </c>
      <c r="J402" s="111"/>
      <c r="L402" s="41">
        <v>182445</v>
      </c>
      <c r="M402" s="118">
        <f t="shared" si="19"/>
        <v>0</v>
      </c>
      <c r="N402" s="481">
        <f t="shared" si="20"/>
        <v>0</v>
      </c>
    </row>
    <row r="403" spans="1:14">
      <c r="A403" s="111">
        <v>400</v>
      </c>
      <c r="B403" s="111" t="s">
        <v>1011</v>
      </c>
      <c r="C403" s="111" t="s">
        <v>1418</v>
      </c>
      <c r="D403" s="111" t="s">
        <v>1530</v>
      </c>
      <c r="E403" s="111" t="s">
        <v>1428</v>
      </c>
      <c r="F403" s="111" t="s">
        <v>1057</v>
      </c>
      <c r="G403" s="111" t="s">
        <v>1425</v>
      </c>
      <c r="H403" s="172">
        <v>182445</v>
      </c>
      <c r="I403" s="172">
        <f t="shared" si="18"/>
        <v>200689.50000000003</v>
      </c>
      <c r="J403" s="111"/>
      <c r="L403" s="41">
        <v>182445</v>
      </c>
      <c r="M403" s="118">
        <f t="shared" si="19"/>
        <v>0</v>
      </c>
      <c r="N403" s="481">
        <f t="shared" si="20"/>
        <v>0</v>
      </c>
    </row>
    <row r="404" spans="1:14">
      <c r="A404" s="111">
        <v>401</v>
      </c>
      <c r="B404" s="111" t="s">
        <v>1011</v>
      </c>
      <c r="C404" s="111" t="s">
        <v>1418</v>
      </c>
      <c r="D404" s="111" t="s">
        <v>1530</v>
      </c>
      <c r="E404" s="111" t="s">
        <v>1429</v>
      </c>
      <c r="F404" s="111" t="s">
        <v>1048</v>
      </c>
      <c r="G404" s="111" t="s">
        <v>1430</v>
      </c>
      <c r="H404" s="172">
        <v>182445</v>
      </c>
      <c r="I404" s="172">
        <f t="shared" si="18"/>
        <v>200689.50000000003</v>
      </c>
      <c r="J404" s="111"/>
      <c r="L404" s="41">
        <v>182445</v>
      </c>
      <c r="M404" s="118">
        <f t="shared" si="19"/>
        <v>0</v>
      </c>
      <c r="N404" s="481">
        <f t="shared" si="20"/>
        <v>0</v>
      </c>
    </row>
    <row r="405" spans="1:14">
      <c r="A405" s="111">
        <v>402</v>
      </c>
      <c r="B405" s="111" t="s">
        <v>1011</v>
      </c>
      <c r="C405" s="111" t="s">
        <v>1418</v>
      </c>
      <c r="D405" s="111" t="s">
        <v>1530</v>
      </c>
      <c r="E405" s="111" t="s">
        <v>1431</v>
      </c>
      <c r="F405" s="111" t="s">
        <v>1051</v>
      </c>
      <c r="G405" s="111" t="s">
        <v>1430</v>
      </c>
      <c r="H405" s="172">
        <v>182445</v>
      </c>
      <c r="I405" s="172">
        <f t="shared" si="18"/>
        <v>200689.50000000003</v>
      </c>
      <c r="J405" s="111"/>
      <c r="L405" s="41">
        <v>182445</v>
      </c>
      <c r="M405" s="118">
        <f t="shared" si="19"/>
        <v>0</v>
      </c>
      <c r="N405" s="481">
        <f t="shared" si="20"/>
        <v>0</v>
      </c>
    </row>
    <row r="406" spans="1:14">
      <c r="A406" s="111">
        <v>403</v>
      </c>
      <c r="B406" s="111" t="s">
        <v>1011</v>
      </c>
      <c r="C406" s="111" t="s">
        <v>1418</v>
      </c>
      <c r="D406" s="111" t="s">
        <v>1530</v>
      </c>
      <c r="E406" s="111" t="s">
        <v>1432</v>
      </c>
      <c r="F406" s="111" t="s">
        <v>1054</v>
      </c>
      <c r="G406" s="111" t="s">
        <v>1430</v>
      </c>
      <c r="H406" s="172">
        <v>182445</v>
      </c>
      <c r="I406" s="172">
        <f t="shared" si="18"/>
        <v>200689.50000000003</v>
      </c>
      <c r="J406" s="111"/>
      <c r="L406" s="41">
        <v>182445</v>
      </c>
      <c r="M406" s="118">
        <f t="shared" si="19"/>
        <v>0</v>
      </c>
      <c r="N406" s="481">
        <f t="shared" si="20"/>
        <v>0</v>
      </c>
    </row>
    <row r="407" spans="1:14">
      <c r="A407" s="111">
        <v>404</v>
      </c>
      <c r="B407" s="111" t="s">
        <v>1011</v>
      </c>
      <c r="C407" s="111" t="s">
        <v>1418</v>
      </c>
      <c r="D407" s="111" t="s">
        <v>1530</v>
      </c>
      <c r="E407" s="111" t="s">
        <v>1433</v>
      </c>
      <c r="F407" s="111" t="s">
        <v>1057</v>
      </c>
      <c r="G407" s="111" t="s">
        <v>1430</v>
      </c>
      <c r="H407" s="172">
        <v>182445</v>
      </c>
      <c r="I407" s="172">
        <f t="shared" si="18"/>
        <v>200689.50000000003</v>
      </c>
      <c r="J407" s="111"/>
      <c r="L407" s="41">
        <v>182445</v>
      </c>
      <c r="M407" s="118">
        <f t="shared" si="19"/>
        <v>0</v>
      </c>
      <c r="N407" s="481">
        <f t="shared" si="20"/>
        <v>0</v>
      </c>
    </row>
    <row r="408" spans="1:14">
      <c r="A408" s="111">
        <v>405</v>
      </c>
      <c r="B408" s="111" t="s">
        <v>1011</v>
      </c>
      <c r="C408" s="111" t="s">
        <v>1418</v>
      </c>
      <c r="D408" s="111" t="s">
        <v>1530</v>
      </c>
      <c r="E408" s="111" t="s">
        <v>1434</v>
      </c>
      <c r="F408" s="111" t="s">
        <v>1048</v>
      </c>
      <c r="G408" s="111" t="s">
        <v>1435</v>
      </c>
      <c r="H408" s="172">
        <v>182445</v>
      </c>
      <c r="I408" s="172">
        <f t="shared" si="18"/>
        <v>200689.50000000003</v>
      </c>
      <c r="J408" s="111"/>
      <c r="L408" s="41">
        <v>182445</v>
      </c>
      <c r="M408" s="118">
        <f t="shared" si="19"/>
        <v>0</v>
      </c>
      <c r="N408" s="481">
        <f t="shared" si="20"/>
        <v>0</v>
      </c>
    </row>
    <row r="409" spans="1:14">
      <c r="A409" s="111">
        <v>406</v>
      </c>
      <c r="B409" s="111" t="s">
        <v>1011</v>
      </c>
      <c r="C409" s="111" t="s">
        <v>1418</v>
      </c>
      <c r="D409" s="111" t="s">
        <v>1530</v>
      </c>
      <c r="E409" s="111" t="s">
        <v>1436</v>
      </c>
      <c r="F409" s="111" t="s">
        <v>1051</v>
      </c>
      <c r="G409" s="111" t="s">
        <v>1435</v>
      </c>
      <c r="H409" s="172">
        <v>182445</v>
      </c>
      <c r="I409" s="172">
        <f t="shared" si="18"/>
        <v>200689.50000000003</v>
      </c>
      <c r="J409" s="111"/>
      <c r="L409" s="41">
        <v>182445</v>
      </c>
      <c r="M409" s="118">
        <f t="shared" si="19"/>
        <v>0</v>
      </c>
      <c r="N409" s="481">
        <f t="shared" si="20"/>
        <v>0</v>
      </c>
    </row>
    <row r="410" spans="1:14">
      <c r="A410" s="111">
        <v>407</v>
      </c>
      <c r="B410" s="111" t="s">
        <v>1011</v>
      </c>
      <c r="C410" s="111" t="s">
        <v>1418</v>
      </c>
      <c r="D410" s="111" t="s">
        <v>1530</v>
      </c>
      <c r="E410" s="111" t="s">
        <v>1437</v>
      </c>
      <c r="F410" s="111" t="s">
        <v>1054</v>
      </c>
      <c r="G410" s="111" t="s">
        <v>1435</v>
      </c>
      <c r="H410" s="172">
        <v>182445</v>
      </c>
      <c r="I410" s="172">
        <f t="shared" si="18"/>
        <v>200689.50000000003</v>
      </c>
      <c r="J410" s="111"/>
      <c r="L410" s="41">
        <v>182445</v>
      </c>
      <c r="M410" s="118">
        <f t="shared" si="19"/>
        <v>0</v>
      </c>
      <c r="N410" s="481">
        <f t="shared" si="20"/>
        <v>0</v>
      </c>
    </row>
    <row r="411" spans="1:14">
      <c r="A411" s="111">
        <v>408</v>
      </c>
      <c r="B411" s="111" t="s">
        <v>1011</v>
      </c>
      <c r="C411" s="111" t="s">
        <v>1418</v>
      </c>
      <c r="D411" s="111" t="s">
        <v>1530</v>
      </c>
      <c r="E411" s="111" t="s">
        <v>1438</v>
      </c>
      <c r="F411" s="111" t="s">
        <v>1057</v>
      </c>
      <c r="G411" s="111" t="s">
        <v>1435</v>
      </c>
      <c r="H411" s="172">
        <v>182445</v>
      </c>
      <c r="I411" s="172">
        <f t="shared" si="18"/>
        <v>200689.50000000003</v>
      </c>
      <c r="J411" s="111"/>
      <c r="L411" s="41">
        <v>182445</v>
      </c>
      <c r="M411" s="118">
        <f t="shared" si="19"/>
        <v>0</v>
      </c>
      <c r="N411" s="481">
        <f t="shared" si="20"/>
        <v>0</v>
      </c>
    </row>
    <row r="412" spans="1:14">
      <c r="A412" s="111">
        <v>409</v>
      </c>
      <c r="B412" s="111" t="s">
        <v>1011</v>
      </c>
      <c r="C412" s="111" t="s">
        <v>1418</v>
      </c>
      <c r="D412" s="111" t="s">
        <v>1530</v>
      </c>
      <c r="E412" s="111" t="s">
        <v>1439</v>
      </c>
      <c r="F412" s="111" t="s">
        <v>1048</v>
      </c>
      <c r="G412" s="111" t="s">
        <v>1440</v>
      </c>
      <c r="H412" s="172">
        <v>182445</v>
      </c>
      <c r="I412" s="172">
        <f t="shared" si="18"/>
        <v>200689.50000000003</v>
      </c>
      <c r="J412" s="111"/>
      <c r="L412" s="41">
        <v>182445</v>
      </c>
      <c r="M412" s="118">
        <f t="shared" si="19"/>
        <v>0</v>
      </c>
      <c r="N412" s="481">
        <f t="shared" si="20"/>
        <v>0</v>
      </c>
    </row>
    <row r="413" spans="1:14">
      <c r="A413" s="111">
        <v>410</v>
      </c>
      <c r="B413" s="111" t="s">
        <v>1011</v>
      </c>
      <c r="C413" s="111" t="s">
        <v>1418</v>
      </c>
      <c r="D413" s="111" t="s">
        <v>1530</v>
      </c>
      <c r="E413" s="111" t="s">
        <v>1441</v>
      </c>
      <c r="F413" s="111" t="s">
        <v>1051</v>
      </c>
      <c r="G413" s="111" t="s">
        <v>1440</v>
      </c>
      <c r="H413" s="172">
        <v>182445</v>
      </c>
      <c r="I413" s="172">
        <f t="shared" si="18"/>
        <v>200689.50000000003</v>
      </c>
      <c r="J413" s="111"/>
      <c r="L413" s="41">
        <v>182445</v>
      </c>
      <c r="M413" s="118">
        <f t="shared" si="19"/>
        <v>0</v>
      </c>
      <c r="N413" s="481">
        <f t="shared" si="20"/>
        <v>0</v>
      </c>
    </row>
    <row r="414" spans="1:14">
      <c r="A414" s="111">
        <v>411</v>
      </c>
      <c r="B414" s="111" t="s">
        <v>1011</v>
      </c>
      <c r="C414" s="111" t="s">
        <v>1418</v>
      </c>
      <c r="D414" s="111" t="s">
        <v>1530</v>
      </c>
      <c r="E414" s="111" t="s">
        <v>1442</v>
      </c>
      <c r="F414" s="111" t="s">
        <v>1054</v>
      </c>
      <c r="G414" s="111" t="s">
        <v>1440</v>
      </c>
      <c r="H414" s="172">
        <v>182445</v>
      </c>
      <c r="I414" s="172">
        <f t="shared" si="18"/>
        <v>200689.50000000003</v>
      </c>
      <c r="J414" s="111"/>
      <c r="L414" s="41">
        <v>182445</v>
      </c>
      <c r="M414" s="118">
        <f t="shared" si="19"/>
        <v>0</v>
      </c>
      <c r="N414" s="481">
        <f t="shared" si="20"/>
        <v>0</v>
      </c>
    </row>
    <row r="415" spans="1:14">
      <c r="A415" s="111">
        <v>412</v>
      </c>
      <c r="B415" s="111" t="s">
        <v>1011</v>
      </c>
      <c r="C415" s="111" t="s">
        <v>1418</v>
      </c>
      <c r="D415" s="111" t="s">
        <v>1530</v>
      </c>
      <c r="E415" s="111" t="s">
        <v>1443</v>
      </c>
      <c r="F415" s="111" t="s">
        <v>1057</v>
      </c>
      <c r="G415" s="111" t="s">
        <v>1440</v>
      </c>
      <c r="H415" s="172">
        <v>182445</v>
      </c>
      <c r="I415" s="172">
        <f t="shared" si="18"/>
        <v>200689.50000000003</v>
      </c>
      <c r="J415" s="111"/>
      <c r="L415" s="41">
        <v>182445</v>
      </c>
      <c r="M415" s="118">
        <f t="shared" si="19"/>
        <v>0</v>
      </c>
      <c r="N415" s="481">
        <f t="shared" si="20"/>
        <v>0</v>
      </c>
    </row>
    <row r="416" spans="1:14">
      <c r="A416" s="111">
        <v>413</v>
      </c>
      <c r="B416" s="111" t="s">
        <v>1011</v>
      </c>
      <c r="C416" s="111" t="s">
        <v>1418</v>
      </c>
      <c r="D416" s="111" t="s">
        <v>1530</v>
      </c>
      <c r="E416" s="111" t="s">
        <v>1444</v>
      </c>
      <c r="F416" s="111" t="s">
        <v>1048</v>
      </c>
      <c r="G416" s="111" t="s">
        <v>1445</v>
      </c>
      <c r="H416" s="172">
        <v>182445</v>
      </c>
      <c r="I416" s="172">
        <f t="shared" si="18"/>
        <v>200689.50000000003</v>
      </c>
      <c r="J416" s="111"/>
      <c r="L416" s="41">
        <v>182445</v>
      </c>
      <c r="M416" s="118">
        <f t="shared" si="19"/>
        <v>0</v>
      </c>
      <c r="N416" s="481">
        <f t="shared" si="20"/>
        <v>0</v>
      </c>
    </row>
    <row r="417" spans="1:14">
      <c r="A417" s="111">
        <v>414</v>
      </c>
      <c r="B417" s="111" t="s">
        <v>1011</v>
      </c>
      <c r="C417" s="111" t="s">
        <v>1418</v>
      </c>
      <c r="D417" s="111" t="s">
        <v>1530</v>
      </c>
      <c r="E417" s="111" t="s">
        <v>1446</v>
      </c>
      <c r="F417" s="111" t="s">
        <v>1051</v>
      </c>
      <c r="G417" s="111" t="s">
        <v>1445</v>
      </c>
      <c r="H417" s="172">
        <v>182445</v>
      </c>
      <c r="I417" s="172">
        <f t="shared" si="18"/>
        <v>200689.50000000003</v>
      </c>
      <c r="J417" s="111"/>
      <c r="L417" s="41">
        <v>182445</v>
      </c>
      <c r="M417" s="118">
        <f t="shared" si="19"/>
        <v>0</v>
      </c>
      <c r="N417" s="481">
        <f t="shared" si="20"/>
        <v>0</v>
      </c>
    </row>
    <row r="418" spans="1:14">
      <c r="A418" s="111">
        <v>415</v>
      </c>
      <c r="B418" s="111" t="s">
        <v>1011</v>
      </c>
      <c r="C418" s="111" t="s">
        <v>1418</v>
      </c>
      <c r="D418" s="111" t="s">
        <v>1530</v>
      </c>
      <c r="E418" s="111" t="s">
        <v>1447</v>
      </c>
      <c r="F418" s="111" t="s">
        <v>1054</v>
      </c>
      <c r="G418" s="111" t="s">
        <v>1445</v>
      </c>
      <c r="H418" s="172">
        <v>182445</v>
      </c>
      <c r="I418" s="172">
        <f t="shared" si="18"/>
        <v>200689.50000000003</v>
      </c>
      <c r="J418" s="111"/>
      <c r="L418" s="41">
        <v>182445</v>
      </c>
      <c r="M418" s="118">
        <f t="shared" si="19"/>
        <v>0</v>
      </c>
      <c r="N418" s="481">
        <f t="shared" si="20"/>
        <v>0</v>
      </c>
    </row>
    <row r="419" spans="1:14">
      <c r="A419" s="111">
        <v>416</v>
      </c>
      <c r="B419" s="111" t="s">
        <v>1011</v>
      </c>
      <c r="C419" s="111" t="s">
        <v>1418</v>
      </c>
      <c r="D419" s="111" t="s">
        <v>1530</v>
      </c>
      <c r="E419" s="111" t="s">
        <v>1448</v>
      </c>
      <c r="F419" s="111" t="s">
        <v>1057</v>
      </c>
      <c r="G419" s="111" t="s">
        <v>1445</v>
      </c>
      <c r="H419" s="172">
        <v>182445</v>
      </c>
      <c r="I419" s="172">
        <f t="shared" si="18"/>
        <v>200689.50000000003</v>
      </c>
      <c r="J419" s="111"/>
      <c r="L419" s="41">
        <v>182445</v>
      </c>
      <c r="M419" s="118">
        <f t="shared" si="19"/>
        <v>0</v>
      </c>
      <c r="N419" s="481">
        <f t="shared" si="20"/>
        <v>0</v>
      </c>
    </row>
    <row r="420" spans="1:14">
      <c r="A420" s="111">
        <v>417</v>
      </c>
      <c r="B420" s="111" t="s">
        <v>1011</v>
      </c>
      <c r="C420" s="111" t="s">
        <v>1418</v>
      </c>
      <c r="D420" s="111" t="s">
        <v>1530</v>
      </c>
      <c r="E420" s="111" t="s">
        <v>1449</v>
      </c>
      <c r="F420" s="111" t="s">
        <v>1048</v>
      </c>
      <c r="G420" s="111" t="s">
        <v>1450</v>
      </c>
      <c r="H420" s="172">
        <v>182445</v>
      </c>
      <c r="I420" s="172">
        <f t="shared" si="18"/>
        <v>200689.50000000003</v>
      </c>
      <c r="J420" s="111"/>
      <c r="L420" s="41">
        <v>182445</v>
      </c>
      <c r="M420" s="118">
        <f t="shared" si="19"/>
        <v>0</v>
      </c>
      <c r="N420" s="481">
        <f t="shared" si="20"/>
        <v>0</v>
      </c>
    </row>
    <row r="421" spans="1:14">
      <c r="A421" s="111">
        <v>418</v>
      </c>
      <c r="B421" s="111" t="s">
        <v>1011</v>
      </c>
      <c r="C421" s="111" t="s">
        <v>1418</v>
      </c>
      <c r="D421" s="111" t="s">
        <v>1530</v>
      </c>
      <c r="E421" s="111" t="s">
        <v>1451</v>
      </c>
      <c r="F421" s="111" t="s">
        <v>1051</v>
      </c>
      <c r="G421" s="111" t="s">
        <v>1450</v>
      </c>
      <c r="H421" s="172">
        <v>182445</v>
      </c>
      <c r="I421" s="172">
        <f t="shared" si="18"/>
        <v>200689.50000000003</v>
      </c>
      <c r="J421" s="111"/>
      <c r="L421" s="41">
        <v>182445</v>
      </c>
      <c r="M421" s="118">
        <f t="shared" si="19"/>
        <v>0</v>
      </c>
      <c r="N421" s="481">
        <f t="shared" si="20"/>
        <v>0</v>
      </c>
    </row>
    <row r="422" spans="1:14">
      <c r="A422" s="111">
        <v>419</v>
      </c>
      <c r="B422" s="111" t="s">
        <v>1011</v>
      </c>
      <c r="C422" s="111" t="s">
        <v>1418</v>
      </c>
      <c r="D422" s="111" t="s">
        <v>1530</v>
      </c>
      <c r="E422" s="111" t="s">
        <v>1452</v>
      </c>
      <c r="F422" s="111" t="s">
        <v>1054</v>
      </c>
      <c r="G422" s="111" t="s">
        <v>1450</v>
      </c>
      <c r="H422" s="172">
        <v>182445</v>
      </c>
      <c r="I422" s="172">
        <f t="shared" si="18"/>
        <v>200689.50000000003</v>
      </c>
      <c r="J422" s="111"/>
      <c r="L422" s="41">
        <v>182445</v>
      </c>
      <c r="M422" s="118">
        <f t="shared" si="19"/>
        <v>0</v>
      </c>
      <c r="N422" s="481">
        <f t="shared" si="20"/>
        <v>0</v>
      </c>
    </row>
    <row r="423" spans="1:14">
      <c r="A423" s="111">
        <v>420</v>
      </c>
      <c r="B423" s="111" t="s">
        <v>1011</v>
      </c>
      <c r="C423" s="111" t="s">
        <v>1418</v>
      </c>
      <c r="D423" s="111" t="s">
        <v>1530</v>
      </c>
      <c r="E423" s="111" t="s">
        <v>1453</v>
      </c>
      <c r="F423" s="111" t="s">
        <v>1057</v>
      </c>
      <c r="G423" s="111" t="s">
        <v>1450</v>
      </c>
      <c r="H423" s="172">
        <v>182445</v>
      </c>
      <c r="I423" s="172">
        <f t="shared" si="18"/>
        <v>200689.50000000003</v>
      </c>
      <c r="J423" s="111"/>
      <c r="L423" s="41">
        <v>182445</v>
      </c>
      <c r="M423" s="118">
        <f t="shared" si="19"/>
        <v>0</v>
      </c>
      <c r="N423" s="481">
        <f t="shared" si="20"/>
        <v>0</v>
      </c>
    </row>
    <row r="424" spans="1:14">
      <c r="A424" s="111">
        <v>421</v>
      </c>
      <c r="B424" s="111" t="s">
        <v>1011</v>
      </c>
      <c r="C424" s="111" t="s">
        <v>1418</v>
      </c>
      <c r="D424" s="111" t="s">
        <v>1530</v>
      </c>
      <c r="E424" s="111" t="s">
        <v>1454</v>
      </c>
      <c r="F424" s="111" t="s">
        <v>1048</v>
      </c>
      <c r="G424" s="111" t="s">
        <v>1455</v>
      </c>
      <c r="H424" s="172">
        <v>182445</v>
      </c>
      <c r="I424" s="172">
        <f t="shared" si="18"/>
        <v>200689.50000000003</v>
      </c>
      <c r="J424" s="111"/>
      <c r="L424" s="41">
        <v>182445</v>
      </c>
      <c r="M424" s="118">
        <f t="shared" si="19"/>
        <v>0</v>
      </c>
      <c r="N424" s="481">
        <f t="shared" si="20"/>
        <v>0</v>
      </c>
    </row>
    <row r="425" spans="1:14">
      <c r="A425" s="111">
        <v>422</v>
      </c>
      <c r="B425" s="111" t="s">
        <v>1011</v>
      </c>
      <c r="C425" s="111" t="s">
        <v>1418</v>
      </c>
      <c r="D425" s="111" t="s">
        <v>1530</v>
      </c>
      <c r="E425" s="111" t="s">
        <v>1456</v>
      </c>
      <c r="F425" s="111" t="s">
        <v>1051</v>
      </c>
      <c r="G425" s="111" t="s">
        <v>1455</v>
      </c>
      <c r="H425" s="172">
        <v>182445</v>
      </c>
      <c r="I425" s="172">
        <f t="shared" si="18"/>
        <v>200689.50000000003</v>
      </c>
      <c r="J425" s="111"/>
      <c r="L425" s="41">
        <v>182445</v>
      </c>
      <c r="M425" s="118">
        <f t="shared" si="19"/>
        <v>0</v>
      </c>
      <c r="N425" s="481">
        <f t="shared" si="20"/>
        <v>0</v>
      </c>
    </row>
    <row r="426" spans="1:14">
      <c r="A426" s="111">
        <v>423</v>
      </c>
      <c r="B426" s="111" t="s">
        <v>1011</v>
      </c>
      <c r="C426" s="111" t="s">
        <v>1418</v>
      </c>
      <c r="D426" s="111" t="s">
        <v>1530</v>
      </c>
      <c r="E426" s="111" t="s">
        <v>1457</v>
      </c>
      <c r="F426" s="111" t="s">
        <v>1054</v>
      </c>
      <c r="G426" s="111" t="s">
        <v>1455</v>
      </c>
      <c r="H426" s="172">
        <v>182445</v>
      </c>
      <c r="I426" s="172">
        <f t="shared" si="18"/>
        <v>200689.50000000003</v>
      </c>
      <c r="J426" s="111"/>
      <c r="L426" s="41">
        <v>182445</v>
      </c>
      <c r="M426" s="118">
        <f t="shared" si="19"/>
        <v>0</v>
      </c>
      <c r="N426" s="481">
        <f t="shared" si="20"/>
        <v>0</v>
      </c>
    </row>
    <row r="427" spans="1:14">
      <c r="A427" s="111">
        <v>424</v>
      </c>
      <c r="B427" s="111" t="s">
        <v>1011</v>
      </c>
      <c r="C427" s="111" t="s">
        <v>1418</v>
      </c>
      <c r="D427" s="111" t="s">
        <v>1530</v>
      </c>
      <c r="E427" s="111" t="s">
        <v>1458</v>
      </c>
      <c r="F427" s="111" t="s">
        <v>1057</v>
      </c>
      <c r="G427" s="111" t="s">
        <v>1455</v>
      </c>
      <c r="H427" s="172">
        <v>182445</v>
      </c>
      <c r="I427" s="172">
        <f t="shared" si="18"/>
        <v>200689.50000000003</v>
      </c>
      <c r="J427" s="111"/>
      <c r="L427" s="41">
        <v>182445</v>
      </c>
      <c r="M427" s="118">
        <f t="shared" si="19"/>
        <v>0</v>
      </c>
      <c r="N427" s="481">
        <f t="shared" si="20"/>
        <v>0</v>
      </c>
    </row>
    <row r="428" spans="1:14">
      <c r="A428" s="111">
        <v>425</v>
      </c>
      <c r="B428" s="111" t="s">
        <v>1011</v>
      </c>
      <c r="C428" s="111" t="s">
        <v>1418</v>
      </c>
      <c r="D428" s="111" t="s">
        <v>1530</v>
      </c>
      <c r="E428" s="111" t="s">
        <v>1459</v>
      </c>
      <c r="F428" s="111" t="s">
        <v>1048</v>
      </c>
      <c r="G428" s="111" t="s">
        <v>1460</v>
      </c>
      <c r="H428" s="172">
        <v>182445</v>
      </c>
      <c r="I428" s="172">
        <f t="shared" si="18"/>
        <v>200689.50000000003</v>
      </c>
      <c r="J428" s="111"/>
      <c r="L428" s="41">
        <v>182445</v>
      </c>
      <c r="M428" s="118">
        <f t="shared" si="19"/>
        <v>0</v>
      </c>
      <c r="N428" s="481">
        <f t="shared" si="20"/>
        <v>0</v>
      </c>
    </row>
    <row r="429" spans="1:14">
      <c r="A429" s="111">
        <v>426</v>
      </c>
      <c r="B429" s="111" t="s">
        <v>1011</v>
      </c>
      <c r="C429" s="111" t="s">
        <v>1418</v>
      </c>
      <c r="D429" s="111" t="s">
        <v>1530</v>
      </c>
      <c r="E429" s="111" t="s">
        <v>1461</v>
      </c>
      <c r="F429" s="111" t="s">
        <v>1051</v>
      </c>
      <c r="G429" s="111" t="s">
        <v>1460</v>
      </c>
      <c r="H429" s="172">
        <v>182445</v>
      </c>
      <c r="I429" s="172">
        <f t="shared" si="18"/>
        <v>200689.50000000003</v>
      </c>
      <c r="J429" s="111"/>
      <c r="L429" s="41">
        <v>182445</v>
      </c>
      <c r="M429" s="118">
        <f t="shared" si="19"/>
        <v>0</v>
      </c>
      <c r="N429" s="481">
        <f t="shared" si="20"/>
        <v>0</v>
      </c>
    </row>
    <row r="430" spans="1:14">
      <c r="A430" s="111">
        <v>427</v>
      </c>
      <c r="B430" s="111" t="s">
        <v>1011</v>
      </c>
      <c r="C430" s="111" t="s">
        <v>1418</v>
      </c>
      <c r="D430" s="111" t="s">
        <v>1530</v>
      </c>
      <c r="E430" s="111" t="s">
        <v>1462</v>
      </c>
      <c r="F430" s="111" t="s">
        <v>1054</v>
      </c>
      <c r="G430" s="111" t="s">
        <v>1460</v>
      </c>
      <c r="H430" s="172">
        <v>182445</v>
      </c>
      <c r="I430" s="172">
        <f t="shared" si="18"/>
        <v>200689.50000000003</v>
      </c>
      <c r="J430" s="111"/>
      <c r="L430" s="41">
        <v>182445</v>
      </c>
      <c r="M430" s="118">
        <f t="shared" si="19"/>
        <v>0</v>
      </c>
      <c r="N430" s="481">
        <f t="shared" si="20"/>
        <v>0</v>
      </c>
    </row>
    <row r="431" spans="1:14">
      <c r="A431" s="111">
        <v>428</v>
      </c>
      <c r="B431" s="111" t="s">
        <v>1011</v>
      </c>
      <c r="C431" s="111" t="s">
        <v>1418</v>
      </c>
      <c r="D431" s="111" t="s">
        <v>1530</v>
      </c>
      <c r="E431" s="111" t="s">
        <v>1463</v>
      </c>
      <c r="F431" s="111" t="s">
        <v>1057</v>
      </c>
      <c r="G431" s="111" t="s">
        <v>1460</v>
      </c>
      <c r="H431" s="172">
        <v>182445</v>
      </c>
      <c r="I431" s="172">
        <f t="shared" si="18"/>
        <v>200689.50000000003</v>
      </c>
      <c r="J431" s="111"/>
      <c r="L431" s="41">
        <v>182445</v>
      </c>
      <c r="M431" s="118">
        <f t="shared" si="19"/>
        <v>0</v>
      </c>
      <c r="N431" s="481">
        <f t="shared" si="20"/>
        <v>0</v>
      </c>
    </row>
    <row r="432" spans="1:14">
      <c r="A432" s="111">
        <v>429</v>
      </c>
      <c r="B432" s="111" t="s">
        <v>1011</v>
      </c>
      <c r="C432" s="111" t="s">
        <v>1418</v>
      </c>
      <c r="D432" s="111" t="s">
        <v>1530</v>
      </c>
      <c r="E432" s="111" t="s">
        <v>1464</v>
      </c>
      <c r="F432" s="111" t="s">
        <v>1048</v>
      </c>
      <c r="G432" s="111" t="s">
        <v>1465</v>
      </c>
      <c r="H432" s="172">
        <v>182445</v>
      </c>
      <c r="I432" s="172">
        <f t="shared" si="18"/>
        <v>200689.50000000003</v>
      </c>
      <c r="J432" s="111"/>
      <c r="L432" s="41">
        <v>182445</v>
      </c>
      <c r="M432" s="118">
        <f t="shared" si="19"/>
        <v>0</v>
      </c>
      <c r="N432" s="481">
        <f t="shared" si="20"/>
        <v>0</v>
      </c>
    </row>
    <row r="433" spans="1:14">
      <c r="A433" s="111">
        <v>430</v>
      </c>
      <c r="B433" s="111" t="s">
        <v>1011</v>
      </c>
      <c r="C433" s="111" t="s">
        <v>1418</v>
      </c>
      <c r="D433" s="111" t="s">
        <v>1530</v>
      </c>
      <c r="E433" s="111" t="s">
        <v>1466</v>
      </c>
      <c r="F433" s="111" t="s">
        <v>1051</v>
      </c>
      <c r="G433" s="111" t="s">
        <v>1465</v>
      </c>
      <c r="H433" s="172">
        <v>182445</v>
      </c>
      <c r="I433" s="172">
        <f t="shared" si="18"/>
        <v>200689.50000000003</v>
      </c>
      <c r="J433" s="111"/>
      <c r="L433" s="41">
        <v>182445</v>
      </c>
      <c r="M433" s="118">
        <f t="shared" si="19"/>
        <v>0</v>
      </c>
      <c r="N433" s="481">
        <f t="shared" si="20"/>
        <v>0</v>
      </c>
    </row>
    <row r="434" spans="1:14">
      <c r="A434" s="111">
        <v>431</v>
      </c>
      <c r="B434" s="111" t="s">
        <v>1011</v>
      </c>
      <c r="C434" s="111" t="s">
        <v>1418</v>
      </c>
      <c r="D434" s="111" t="s">
        <v>1530</v>
      </c>
      <c r="E434" s="111" t="s">
        <v>1467</v>
      </c>
      <c r="F434" s="111" t="s">
        <v>1054</v>
      </c>
      <c r="G434" s="111" t="s">
        <v>1465</v>
      </c>
      <c r="H434" s="172">
        <v>182445</v>
      </c>
      <c r="I434" s="172">
        <f t="shared" si="18"/>
        <v>200689.50000000003</v>
      </c>
      <c r="J434" s="111"/>
      <c r="L434" s="41">
        <v>182445</v>
      </c>
      <c r="M434" s="118">
        <f t="shared" si="19"/>
        <v>0</v>
      </c>
      <c r="N434" s="481">
        <f t="shared" si="20"/>
        <v>0</v>
      </c>
    </row>
    <row r="435" spans="1:14">
      <c r="A435" s="111">
        <v>432</v>
      </c>
      <c r="B435" s="111" t="s">
        <v>1011</v>
      </c>
      <c r="C435" s="111" t="s">
        <v>1418</v>
      </c>
      <c r="D435" s="111" t="s">
        <v>1530</v>
      </c>
      <c r="E435" s="111" t="s">
        <v>1468</v>
      </c>
      <c r="F435" s="111" t="s">
        <v>1057</v>
      </c>
      <c r="G435" s="111" t="s">
        <v>1465</v>
      </c>
      <c r="H435" s="172">
        <v>182445</v>
      </c>
      <c r="I435" s="172">
        <f t="shared" si="18"/>
        <v>200689.50000000003</v>
      </c>
      <c r="J435" s="111"/>
      <c r="L435" s="41">
        <v>182445</v>
      </c>
      <c r="M435" s="118">
        <f t="shared" si="19"/>
        <v>0</v>
      </c>
      <c r="N435" s="481">
        <f t="shared" si="20"/>
        <v>0</v>
      </c>
    </row>
    <row r="436" spans="1:14">
      <c r="A436" s="111">
        <v>433</v>
      </c>
      <c r="B436" s="111" t="s">
        <v>1011</v>
      </c>
      <c r="C436" s="111" t="s">
        <v>1418</v>
      </c>
      <c r="D436" s="111" t="s">
        <v>1530</v>
      </c>
      <c r="E436" s="111" t="s">
        <v>1469</v>
      </c>
      <c r="F436" s="111" t="s">
        <v>1048</v>
      </c>
      <c r="G436" s="111" t="s">
        <v>1470</v>
      </c>
      <c r="H436" s="172">
        <v>182445</v>
      </c>
      <c r="I436" s="172">
        <f t="shared" si="18"/>
        <v>200689.50000000003</v>
      </c>
      <c r="J436" s="111"/>
      <c r="L436" s="41">
        <v>182445</v>
      </c>
      <c r="M436" s="118">
        <f t="shared" si="19"/>
        <v>0</v>
      </c>
      <c r="N436" s="481">
        <f t="shared" si="20"/>
        <v>0</v>
      </c>
    </row>
    <row r="437" spans="1:14">
      <c r="A437" s="111">
        <v>434</v>
      </c>
      <c r="B437" s="111" t="s">
        <v>1011</v>
      </c>
      <c r="C437" s="111" t="s">
        <v>1418</v>
      </c>
      <c r="D437" s="111" t="s">
        <v>1530</v>
      </c>
      <c r="E437" s="111" t="s">
        <v>1471</v>
      </c>
      <c r="F437" s="111" t="s">
        <v>1051</v>
      </c>
      <c r="G437" s="111" t="s">
        <v>1470</v>
      </c>
      <c r="H437" s="172">
        <v>182445</v>
      </c>
      <c r="I437" s="172">
        <f t="shared" si="18"/>
        <v>200689.50000000003</v>
      </c>
      <c r="J437" s="111"/>
      <c r="L437" s="41">
        <v>182445</v>
      </c>
      <c r="M437" s="118">
        <f t="shared" si="19"/>
        <v>0</v>
      </c>
      <c r="N437" s="481">
        <f t="shared" si="20"/>
        <v>0</v>
      </c>
    </row>
    <row r="438" spans="1:14">
      <c r="A438" s="111">
        <v>435</v>
      </c>
      <c r="B438" s="111" t="s">
        <v>1011</v>
      </c>
      <c r="C438" s="111" t="s">
        <v>1418</v>
      </c>
      <c r="D438" s="111" t="s">
        <v>1530</v>
      </c>
      <c r="E438" s="111" t="s">
        <v>1472</v>
      </c>
      <c r="F438" s="111" t="s">
        <v>1054</v>
      </c>
      <c r="G438" s="111" t="s">
        <v>1470</v>
      </c>
      <c r="H438" s="172">
        <v>182445</v>
      </c>
      <c r="I438" s="172">
        <f t="shared" si="18"/>
        <v>200689.50000000003</v>
      </c>
      <c r="J438" s="111"/>
      <c r="L438" s="41">
        <v>182445</v>
      </c>
      <c r="M438" s="118">
        <f t="shared" si="19"/>
        <v>0</v>
      </c>
      <c r="N438" s="481">
        <f t="shared" si="20"/>
        <v>0</v>
      </c>
    </row>
    <row r="439" spans="1:14">
      <c r="A439" s="111">
        <v>436</v>
      </c>
      <c r="B439" s="111" t="s">
        <v>1011</v>
      </c>
      <c r="C439" s="111" t="s">
        <v>1418</v>
      </c>
      <c r="D439" s="111" t="s">
        <v>1530</v>
      </c>
      <c r="E439" s="111" t="s">
        <v>1473</v>
      </c>
      <c r="F439" s="111" t="s">
        <v>1057</v>
      </c>
      <c r="G439" s="111" t="s">
        <v>1470</v>
      </c>
      <c r="H439" s="172">
        <v>182445</v>
      </c>
      <c r="I439" s="172">
        <f t="shared" si="18"/>
        <v>200689.50000000003</v>
      </c>
      <c r="J439" s="111"/>
      <c r="L439" s="41">
        <v>182445</v>
      </c>
      <c r="M439" s="118">
        <f t="shared" si="19"/>
        <v>0</v>
      </c>
      <c r="N439" s="481">
        <f t="shared" si="20"/>
        <v>0</v>
      </c>
    </row>
    <row r="440" spans="1:14">
      <c r="A440" s="111">
        <v>437</v>
      </c>
      <c r="B440" s="111" t="s">
        <v>1011</v>
      </c>
      <c r="C440" s="111" t="s">
        <v>1418</v>
      </c>
      <c r="D440" s="111" t="s">
        <v>1530</v>
      </c>
      <c r="E440" s="111" t="s">
        <v>1474</v>
      </c>
      <c r="F440" s="111" t="s">
        <v>1048</v>
      </c>
      <c r="G440" s="111" t="s">
        <v>1475</v>
      </c>
      <c r="H440" s="172">
        <v>182445</v>
      </c>
      <c r="I440" s="172">
        <f t="shared" si="18"/>
        <v>200689.50000000003</v>
      </c>
      <c r="J440" s="111"/>
      <c r="L440" s="41">
        <v>182445</v>
      </c>
      <c r="M440" s="118">
        <f t="shared" si="19"/>
        <v>0</v>
      </c>
      <c r="N440" s="481">
        <f t="shared" si="20"/>
        <v>0</v>
      </c>
    </row>
    <row r="441" spans="1:14">
      <c r="A441" s="111">
        <v>438</v>
      </c>
      <c r="B441" s="111" t="s">
        <v>1011</v>
      </c>
      <c r="C441" s="111" t="s">
        <v>1418</v>
      </c>
      <c r="D441" s="111" t="s">
        <v>1530</v>
      </c>
      <c r="E441" s="111" t="s">
        <v>1476</v>
      </c>
      <c r="F441" s="111" t="s">
        <v>1051</v>
      </c>
      <c r="G441" s="111" t="s">
        <v>1475</v>
      </c>
      <c r="H441" s="172">
        <v>182445</v>
      </c>
      <c r="I441" s="172">
        <f t="shared" si="18"/>
        <v>200689.50000000003</v>
      </c>
      <c r="J441" s="111"/>
      <c r="L441" s="41">
        <v>182445</v>
      </c>
      <c r="M441" s="118">
        <f t="shared" si="19"/>
        <v>0</v>
      </c>
      <c r="N441" s="481">
        <f t="shared" si="20"/>
        <v>0</v>
      </c>
    </row>
    <row r="442" spans="1:14">
      <c r="A442" s="111">
        <v>439</v>
      </c>
      <c r="B442" s="111" t="s">
        <v>1011</v>
      </c>
      <c r="C442" s="111" t="s">
        <v>1418</v>
      </c>
      <c r="D442" s="111" t="s">
        <v>1530</v>
      </c>
      <c r="E442" s="111" t="s">
        <v>1477</v>
      </c>
      <c r="F442" s="111" t="s">
        <v>1054</v>
      </c>
      <c r="G442" s="111" t="s">
        <v>1475</v>
      </c>
      <c r="H442" s="172">
        <v>182445</v>
      </c>
      <c r="I442" s="172">
        <f t="shared" si="18"/>
        <v>200689.50000000003</v>
      </c>
      <c r="J442" s="111"/>
      <c r="L442" s="41">
        <v>182445</v>
      </c>
      <c r="M442" s="118">
        <f t="shared" si="19"/>
        <v>0</v>
      </c>
      <c r="N442" s="481">
        <f t="shared" si="20"/>
        <v>0</v>
      </c>
    </row>
    <row r="443" spans="1:14">
      <c r="A443" s="111">
        <v>440</v>
      </c>
      <c r="B443" s="111" t="s">
        <v>1011</v>
      </c>
      <c r="C443" s="111" t="s">
        <v>1418</v>
      </c>
      <c r="D443" s="111" t="s">
        <v>1530</v>
      </c>
      <c r="E443" s="111" t="s">
        <v>1478</v>
      </c>
      <c r="F443" s="111" t="s">
        <v>1057</v>
      </c>
      <c r="G443" s="111" t="s">
        <v>1475</v>
      </c>
      <c r="H443" s="172">
        <v>182445</v>
      </c>
      <c r="I443" s="172">
        <f t="shared" si="18"/>
        <v>200689.50000000003</v>
      </c>
      <c r="J443" s="111"/>
      <c r="L443" s="41">
        <v>182445</v>
      </c>
      <c r="M443" s="118">
        <f t="shared" si="19"/>
        <v>0</v>
      </c>
      <c r="N443" s="481">
        <f t="shared" si="20"/>
        <v>0</v>
      </c>
    </row>
    <row r="444" spans="1:14">
      <c r="A444" s="111">
        <v>441</v>
      </c>
      <c r="B444" s="111" t="s">
        <v>745</v>
      </c>
      <c r="C444" s="111" t="s">
        <v>1479</v>
      </c>
      <c r="D444" s="111" t="s">
        <v>747</v>
      </c>
      <c r="E444" s="111" t="s">
        <v>1480</v>
      </c>
      <c r="F444" s="111" t="s">
        <v>1048</v>
      </c>
      <c r="G444" s="111"/>
      <c r="H444" s="172">
        <v>1669634</v>
      </c>
      <c r="I444" s="172">
        <f t="shared" si="18"/>
        <v>1669634</v>
      </c>
      <c r="J444" s="111"/>
      <c r="L444" s="41">
        <f>VLOOKUP(E444,[3]단가!B$4:M$724,12,0)</f>
        <v>1669634</v>
      </c>
      <c r="M444" s="118">
        <f t="shared" si="19"/>
        <v>0</v>
      </c>
      <c r="N444" s="481">
        <f t="shared" si="20"/>
        <v>0</v>
      </c>
    </row>
    <row r="445" spans="1:14">
      <c r="A445" s="111">
        <v>442</v>
      </c>
      <c r="B445" s="111" t="s">
        <v>745</v>
      </c>
      <c r="C445" s="111" t="s">
        <v>1479</v>
      </c>
      <c r="D445" s="111" t="s">
        <v>747</v>
      </c>
      <c r="E445" s="111" t="s">
        <v>1481</v>
      </c>
      <c r="F445" s="111" t="s">
        <v>1051</v>
      </c>
      <c r="G445" s="111"/>
      <c r="H445" s="172">
        <v>1735609</v>
      </c>
      <c r="I445" s="172">
        <f t="shared" si="18"/>
        <v>1735609</v>
      </c>
      <c r="J445" s="111"/>
      <c r="L445" s="41">
        <f>VLOOKUP(E445,[3]단가!B$4:M$724,12,0)</f>
        <v>1735609</v>
      </c>
      <c r="M445" s="118">
        <f t="shared" si="19"/>
        <v>0</v>
      </c>
      <c r="N445" s="481">
        <f t="shared" si="20"/>
        <v>0</v>
      </c>
    </row>
    <row r="446" spans="1:14">
      <c r="A446" s="111">
        <v>443</v>
      </c>
      <c r="B446" s="111" t="s">
        <v>745</v>
      </c>
      <c r="C446" s="111" t="s">
        <v>1479</v>
      </c>
      <c r="D446" s="111" t="s">
        <v>747</v>
      </c>
      <c r="E446" s="111" t="s">
        <v>1482</v>
      </c>
      <c r="F446" s="111" t="s">
        <v>1054</v>
      </c>
      <c r="G446" s="111"/>
      <c r="H446" s="172">
        <v>1794479</v>
      </c>
      <c r="I446" s="172">
        <f t="shared" si="18"/>
        <v>1794479</v>
      </c>
      <c r="J446" s="111"/>
      <c r="L446" s="41">
        <f>VLOOKUP(E446,[3]단가!B$4:M$724,12,0)</f>
        <v>1794479</v>
      </c>
      <c r="M446" s="118">
        <f t="shared" si="19"/>
        <v>0</v>
      </c>
      <c r="N446" s="481">
        <f t="shared" si="20"/>
        <v>0</v>
      </c>
    </row>
    <row r="447" spans="1:14">
      <c r="A447" s="111">
        <v>444</v>
      </c>
      <c r="B447" s="111" t="s">
        <v>745</v>
      </c>
      <c r="C447" s="111" t="s">
        <v>1479</v>
      </c>
      <c r="D447" s="111" t="s">
        <v>747</v>
      </c>
      <c r="E447" s="111" t="s">
        <v>1483</v>
      </c>
      <c r="F447" s="111" t="s">
        <v>1057</v>
      </c>
      <c r="G447" s="111"/>
      <c r="H447" s="172">
        <v>2278634</v>
      </c>
      <c r="I447" s="172">
        <f t="shared" si="18"/>
        <v>2278634</v>
      </c>
      <c r="J447" s="111"/>
      <c r="L447" s="41">
        <f>VLOOKUP(E447,[3]단가!B$4:M$724,12,0)</f>
        <v>2278634</v>
      </c>
      <c r="M447" s="118">
        <f t="shared" si="19"/>
        <v>0</v>
      </c>
      <c r="N447" s="481">
        <f t="shared" si="20"/>
        <v>0</v>
      </c>
    </row>
    <row r="448" spans="1:14">
      <c r="A448" s="111">
        <v>445</v>
      </c>
      <c r="B448" s="111" t="s">
        <v>745</v>
      </c>
      <c r="C448" s="111" t="s">
        <v>1479</v>
      </c>
      <c r="D448" s="111" t="s">
        <v>747</v>
      </c>
      <c r="E448" s="111" t="s">
        <v>1484</v>
      </c>
      <c r="F448" s="111" t="s">
        <v>1048</v>
      </c>
      <c r="G448" s="111"/>
      <c r="H448" s="172">
        <v>1776250</v>
      </c>
      <c r="I448" s="172">
        <f t="shared" si="18"/>
        <v>1776250</v>
      </c>
      <c r="J448" s="111"/>
      <c r="L448" s="41">
        <f>VLOOKUP(E448,[3]단가!B$4:M$724,12,0)</f>
        <v>1776250</v>
      </c>
      <c r="M448" s="118">
        <f t="shared" si="19"/>
        <v>0</v>
      </c>
      <c r="N448" s="481">
        <f t="shared" si="20"/>
        <v>0</v>
      </c>
    </row>
    <row r="449" spans="1:14">
      <c r="A449" s="111">
        <v>446</v>
      </c>
      <c r="B449" s="111" t="s">
        <v>745</v>
      </c>
      <c r="C449" s="111" t="s">
        <v>1479</v>
      </c>
      <c r="D449" s="111" t="s">
        <v>747</v>
      </c>
      <c r="E449" s="111" t="s">
        <v>1485</v>
      </c>
      <c r="F449" s="111" t="s">
        <v>1051</v>
      </c>
      <c r="G449" s="111"/>
      <c r="H449" s="172">
        <v>1837109</v>
      </c>
      <c r="I449" s="172">
        <f t="shared" si="18"/>
        <v>1837109</v>
      </c>
      <c r="J449" s="111"/>
      <c r="L449" s="41">
        <f>VLOOKUP(E449,[3]단가!B$4:M$724,12,0)</f>
        <v>1837109</v>
      </c>
      <c r="M449" s="118">
        <f t="shared" si="19"/>
        <v>0</v>
      </c>
      <c r="N449" s="481">
        <f t="shared" si="20"/>
        <v>0</v>
      </c>
    </row>
    <row r="450" spans="1:14">
      <c r="A450" s="111">
        <v>447</v>
      </c>
      <c r="B450" s="111" t="s">
        <v>745</v>
      </c>
      <c r="C450" s="111" t="s">
        <v>1479</v>
      </c>
      <c r="D450" s="111" t="s">
        <v>747</v>
      </c>
      <c r="E450" s="111" t="s">
        <v>1486</v>
      </c>
      <c r="F450" s="111" t="s">
        <v>1054</v>
      </c>
      <c r="G450" s="111"/>
      <c r="H450" s="172">
        <v>1901095</v>
      </c>
      <c r="I450" s="172">
        <f t="shared" si="18"/>
        <v>1901095</v>
      </c>
      <c r="J450" s="111"/>
      <c r="L450" s="41">
        <f>VLOOKUP(E450,[3]단가!B$4:M$724,12,0)</f>
        <v>1901095</v>
      </c>
      <c r="M450" s="118">
        <f t="shared" si="19"/>
        <v>0</v>
      </c>
      <c r="N450" s="481">
        <f t="shared" si="20"/>
        <v>0</v>
      </c>
    </row>
    <row r="451" spans="1:14">
      <c r="A451" s="111">
        <v>448</v>
      </c>
      <c r="B451" s="111" t="s">
        <v>745</v>
      </c>
      <c r="C451" s="111" t="s">
        <v>1479</v>
      </c>
      <c r="D451" s="111" t="s">
        <v>747</v>
      </c>
      <c r="E451" s="111" t="s">
        <v>1487</v>
      </c>
      <c r="F451" s="111" t="s">
        <v>1057</v>
      </c>
      <c r="G451" s="111"/>
      <c r="H451" s="172">
        <v>2385250</v>
      </c>
      <c r="I451" s="172">
        <f t="shared" si="18"/>
        <v>2385250</v>
      </c>
      <c r="J451" s="111"/>
      <c r="L451" s="41">
        <f>VLOOKUP(E451,[3]단가!B$4:M$724,12,0)</f>
        <v>2385250</v>
      </c>
      <c r="M451" s="118">
        <f t="shared" si="19"/>
        <v>0</v>
      </c>
      <c r="N451" s="481">
        <f t="shared" si="20"/>
        <v>0</v>
      </c>
    </row>
    <row r="452" spans="1:14">
      <c r="A452" s="111">
        <v>449</v>
      </c>
      <c r="B452" s="111" t="s">
        <v>745</v>
      </c>
      <c r="C452" s="111" t="s">
        <v>1246</v>
      </c>
      <c r="D452" s="111" t="s">
        <v>1530</v>
      </c>
      <c r="E452" s="111" t="s">
        <v>1488</v>
      </c>
      <c r="F452" s="111" t="s">
        <v>1048</v>
      </c>
      <c r="G452" s="111"/>
      <c r="H452" s="172">
        <v>722781</v>
      </c>
      <c r="I452" s="172">
        <f t="shared" si="18"/>
        <v>795059.10000000009</v>
      </c>
      <c r="J452" s="111"/>
      <c r="L452" s="41">
        <f>VLOOKUP(E452,[3]단가!B$4:M$724,12,0)</f>
        <v>722781</v>
      </c>
      <c r="M452" s="118">
        <f t="shared" si="19"/>
        <v>0</v>
      </c>
      <c r="N452" s="481">
        <f t="shared" si="20"/>
        <v>0</v>
      </c>
    </row>
    <row r="453" spans="1:14">
      <c r="A453" s="111">
        <v>450</v>
      </c>
      <c r="B453" s="111" t="s">
        <v>745</v>
      </c>
      <c r="C453" s="111" t="s">
        <v>1246</v>
      </c>
      <c r="D453" s="111" t="s">
        <v>1530</v>
      </c>
      <c r="E453" s="111" t="s">
        <v>1489</v>
      </c>
      <c r="F453" s="111" t="s">
        <v>1051</v>
      </c>
      <c r="G453" s="111"/>
      <c r="H453" s="172">
        <v>735469</v>
      </c>
      <c r="I453" s="172">
        <f t="shared" ref="I453:I516" si="21">IF(D453="Y",H453*$I$3,H453*$J$3)</f>
        <v>809015.9</v>
      </c>
      <c r="J453" s="111"/>
      <c r="L453" s="41">
        <f>VLOOKUP(E453,[3]단가!B$4:M$724,12,0)</f>
        <v>735469</v>
      </c>
      <c r="M453" s="118">
        <f t="shared" si="19"/>
        <v>0</v>
      </c>
      <c r="N453" s="481">
        <f t="shared" si="20"/>
        <v>0</v>
      </c>
    </row>
    <row r="454" spans="1:14">
      <c r="A454" s="111">
        <v>451</v>
      </c>
      <c r="B454" s="111" t="s">
        <v>745</v>
      </c>
      <c r="C454" s="111" t="s">
        <v>1246</v>
      </c>
      <c r="D454" s="111" t="s">
        <v>1530</v>
      </c>
      <c r="E454" s="111" t="s">
        <v>1490</v>
      </c>
      <c r="F454" s="111" t="s">
        <v>1054</v>
      </c>
      <c r="G454" s="111"/>
      <c r="H454" s="172">
        <v>759321</v>
      </c>
      <c r="I454" s="172">
        <f t="shared" si="21"/>
        <v>835253.10000000009</v>
      </c>
      <c r="J454" s="111"/>
      <c r="L454" s="41">
        <f>VLOOKUP(E454,[3]단가!B$4:M$724,12,0)</f>
        <v>759321</v>
      </c>
      <c r="M454" s="118">
        <f t="shared" ref="M454:M517" si="22">L454-H454</f>
        <v>0</v>
      </c>
      <c r="N454" s="481">
        <f t="shared" ref="N454:N517" si="23">M454/H454</f>
        <v>0</v>
      </c>
    </row>
    <row r="455" spans="1:14">
      <c r="A455" s="111">
        <v>452</v>
      </c>
      <c r="B455" s="111" t="s">
        <v>745</v>
      </c>
      <c r="C455" s="111" t="s">
        <v>1246</v>
      </c>
      <c r="D455" s="111" t="s">
        <v>1530</v>
      </c>
      <c r="E455" s="111" t="s">
        <v>1491</v>
      </c>
      <c r="F455" s="111" t="s">
        <v>1057</v>
      </c>
      <c r="G455" s="111"/>
      <c r="H455" s="172">
        <v>902842</v>
      </c>
      <c r="I455" s="172">
        <f t="shared" si="21"/>
        <v>993126.20000000007</v>
      </c>
      <c r="J455" s="111"/>
      <c r="L455" s="41">
        <f>VLOOKUP(E455,[3]단가!B$4:M$724,12,0)</f>
        <v>902842</v>
      </c>
      <c r="M455" s="118">
        <f t="shared" si="22"/>
        <v>0</v>
      </c>
      <c r="N455" s="481">
        <f t="shared" si="23"/>
        <v>0</v>
      </c>
    </row>
    <row r="456" spans="1:14">
      <c r="A456" s="111">
        <v>453</v>
      </c>
      <c r="B456" s="111" t="s">
        <v>1492</v>
      </c>
      <c r="C456" s="111" t="s">
        <v>1492</v>
      </c>
      <c r="D456" s="111" t="s">
        <v>1530</v>
      </c>
      <c r="E456" s="111" t="s">
        <v>1493</v>
      </c>
      <c r="F456" s="111"/>
      <c r="G456" s="111"/>
      <c r="H456" s="172">
        <v>448630</v>
      </c>
      <c r="I456" s="172">
        <f t="shared" si="21"/>
        <v>493493.00000000006</v>
      </c>
      <c r="J456" s="111"/>
      <c r="L456" s="41">
        <f>VLOOKUP(E456,[3]단가!B$4:M$724,12,0)</f>
        <v>448630</v>
      </c>
      <c r="M456" s="118">
        <f t="shared" si="22"/>
        <v>0</v>
      </c>
      <c r="N456" s="481">
        <f t="shared" si="23"/>
        <v>0</v>
      </c>
    </row>
    <row r="457" spans="1:14">
      <c r="A457" s="111">
        <v>454</v>
      </c>
      <c r="B457" s="111" t="s">
        <v>1492</v>
      </c>
      <c r="C457" s="111" t="s">
        <v>1492</v>
      </c>
      <c r="D457" s="111" t="s">
        <v>747</v>
      </c>
      <c r="E457" s="111" t="s">
        <v>1494</v>
      </c>
      <c r="F457" s="111"/>
      <c r="G457" s="111"/>
      <c r="H457" s="172">
        <v>391115</v>
      </c>
      <c r="I457" s="172">
        <f t="shared" si="21"/>
        <v>391115</v>
      </c>
      <c r="J457" s="111"/>
      <c r="L457" s="41">
        <f>VLOOKUP(E457,[3]단가!B$4:M$724,12,0)</f>
        <v>391115</v>
      </c>
      <c r="M457" s="118">
        <f t="shared" si="22"/>
        <v>0</v>
      </c>
      <c r="N457" s="481">
        <f t="shared" si="23"/>
        <v>0</v>
      </c>
    </row>
    <row r="458" spans="1:14">
      <c r="A458" s="111">
        <v>455</v>
      </c>
      <c r="B458" s="111" t="s">
        <v>1492</v>
      </c>
      <c r="C458" s="111" t="s">
        <v>1492</v>
      </c>
      <c r="D458" s="111" t="s">
        <v>1530</v>
      </c>
      <c r="E458" s="111" t="s">
        <v>1495</v>
      </c>
      <c r="F458" s="111"/>
      <c r="G458" s="111"/>
      <c r="H458" s="172">
        <v>556377</v>
      </c>
      <c r="I458" s="172">
        <f t="shared" si="21"/>
        <v>612014.70000000007</v>
      </c>
      <c r="J458" s="111"/>
      <c r="L458" s="41">
        <f>VLOOKUP(E458,[3]단가!B$4:M$724,12,0)</f>
        <v>556377</v>
      </c>
      <c r="M458" s="118">
        <f t="shared" si="22"/>
        <v>0</v>
      </c>
      <c r="N458" s="481">
        <f t="shared" si="23"/>
        <v>0</v>
      </c>
    </row>
    <row r="459" spans="1:14">
      <c r="A459" s="111">
        <v>456</v>
      </c>
      <c r="B459" s="111" t="s">
        <v>1492</v>
      </c>
      <c r="C459" s="111" t="s">
        <v>1492</v>
      </c>
      <c r="D459" s="111" t="s">
        <v>1530</v>
      </c>
      <c r="E459" s="111" t="s">
        <v>1496</v>
      </c>
      <c r="F459" s="111" t="s">
        <v>1492</v>
      </c>
      <c r="G459" s="111"/>
      <c r="H459" s="172">
        <v>555719</v>
      </c>
      <c r="I459" s="172">
        <f t="shared" si="21"/>
        <v>611290.9</v>
      </c>
      <c r="J459" s="111"/>
      <c r="L459" s="41">
        <f>VLOOKUP(E459,[3]단가!B$4:M$724,12,0)</f>
        <v>555719</v>
      </c>
      <c r="M459" s="118">
        <f t="shared" si="22"/>
        <v>0</v>
      </c>
      <c r="N459" s="481">
        <f t="shared" si="23"/>
        <v>0</v>
      </c>
    </row>
    <row r="460" spans="1:14">
      <c r="A460" s="111">
        <v>457</v>
      </c>
      <c r="B460" s="111" t="s">
        <v>1492</v>
      </c>
      <c r="C460" s="111" t="s">
        <v>1492</v>
      </c>
      <c r="D460" s="111" t="s">
        <v>1530</v>
      </c>
      <c r="E460" s="111" t="s">
        <v>1497</v>
      </c>
      <c r="F460" s="111" t="s">
        <v>1492</v>
      </c>
      <c r="G460" s="111"/>
      <c r="H460" s="172">
        <v>836339</v>
      </c>
      <c r="I460" s="172">
        <f t="shared" si="21"/>
        <v>919972.9</v>
      </c>
      <c r="J460" s="111"/>
      <c r="L460" s="41">
        <f>VLOOKUP(E460,[3]단가!B$4:M$724,12,0)</f>
        <v>836339</v>
      </c>
      <c r="M460" s="118">
        <f t="shared" si="22"/>
        <v>0</v>
      </c>
      <c r="N460" s="481">
        <f t="shared" si="23"/>
        <v>0</v>
      </c>
    </row>
    <row r="461" spans="1:14">
      <c r="A461" s="111">
        <v>458</v>
      </c>
      <c r="B461" s="111" t="s">
        <v>1492</v>
      </c>
      <c r="C461" s="111" t="s">
        <v>1492</v>
      </c>
      <c r="D461" s="111" t="s">
        <v>1530</v>
      </c>
      <c r="E461" s="111" t="s">
        <v>1498</v>
      </c>
      <c r="F461" s="111" t="s">
        <v>1492</v>
      </c>
      <c r="G461" s="111"/>
      <c r="H461" s="172">
        <v>1156846</v>
      </c>
      <c r="I461" s="172">
        <f t="shared" si="21"/>
        <v>1272530.6000000001</v>
      </c>
      <c r="J461" s="111"/>
      <c r="L461" s="41">
        <f>VLOOKUP(E461,[3]단가!B$4:M$724,12,0)</f>
        <v>1156846</v>
      </c>
      <c r="M461" s="118">
        <f t="shared" si="22"/>
        <v>0</v>
      </c>
      <c r="N461" s="481">
        <f t="shared" si="23"/>
        <v>0</v>
      </c>
    </row>
    <row r="462" spans="1:14">
      <c r="A462" s="111">
        <v>459</v>
      </c>
      <c r="B462" s="111" t="s">
        <v>211</v>
      </c>
      <c r="C462" s="111" t="s">
        <v>1492</v>
      </c>
      <c r="D462" s="111" t="s">
        <v>1530</v>
      </c>
      <c r="E462" s="111" t="s">
        <v>1499</v>
      </c>
      <c r="F462" s="111" t="s">
        <v>1500</v>
      </c>
      <c r="G462" s="111" t="s">
        <v>1501</v>
      </c>
      <c r="H462" s="191">
        <v>561021</v>
      </c>
      <c r="I462" s="172">
        <f t="shared" si="21"/>
        <v>617123.10000000009</v>
      </c>
      <c r="J462" s="111"/>
      <c r="L462" s="41">
        <f>VLOOKUP(E462,[3]단가!B$4:M$724,12,0)</f>
        <v>561021</v>
      </c>
      <c r="M462" s="118">
        <f t="shared" si="22"/>
        <v>0</v>
      </c>
      <c r="N462" s="481">
        <f t="shared" si="23"/>
        <v>0</v>
      </c>
    </row>
    <row r="463" spans="1:14">
      <c r="A463" s="111">
        <v>460</v>
      </c>
      <c r="B463" s="111" t="s">
        <v>211</v>
      </c>
      <c r="C463" s="111" t="s">
        <v>1492</v>
      </c>
      <c r="D463" s="111" t="s">
        <v>1530</v>
      </c>
      <c r="E463" s="111" t="s">
        <v>1502</v>
      </c>
      <c r="F463" s="111" t="s">
        <v>1500</v>
      </c>
      <c r="G463" s="111" t="s">
        <v>1503</v>
      </c>
      <c r="H463" s="191">
        <v>577130</v>
      </c>
      <c r="I463" s="172">
        <f t="shared" si="21"/>
        <v>634843</v>
      </c>
      <c r="J463" s="111"/>
      <c r="L463" s="41">
        <f>VLOOKUP(E463,[3]단가!B$4:M$724,12,0)</f>
        <v>577130</v>
      </c>
      <c r="M463" s="118">
        <f t="shared" si="22"/>
        <v>0</v>
      </c>
      <c r="N463" s="481">
        <f t="shared" si="23"/>
        <v>0</v>
      </c>
    </row>
    <row r="464" spans="1:14">
      <c r="A464" s="111">
        <v>461</v>
      </c>
      <c r="B464" s="111" t="s">
        <v>1492</v>
      </c>
      <c r="C464" s="111" t="s">
        <v>1504</v>
      </c>
      <c r="D464" s="111" t="s">
        <v>747</v>
      </c>
      <c r="E464" s="111" t="s">
        <v>1505</v>
      </c>
      <c r="F464" s="111"/>
      <c r="G464" s="111"/>
      <c r="H464" s="172">
        <v>5075</v>
      </c>
      <c r="I464" s="172">
        <f t="shared" si="21"/>
        <v>5075</v>
      </c>
      <c r="J464" s="111"/>
      <c r="L464" s="41">
        <f>VLOOKUP(E464,[3]단가!B$4:M$724,12,0)</f>
        <v>5075</v>
      </c>
      <c r="M464" s="118">
        <f t="shared" si="22"/>
        <v>0</v>
      </c>
      <c r="N464" s="481">
        <f t="shared" si="23"/>
        <v>0</v>
      </c>
    </row>
    <row r="465" spans="1:14">
      <c r="A465" s="111">
        <v>462</v>
      </c>
      <c r="B465" s="111" t="s">
        <v>1492</v>
      </c>
      <c r="C465" s="111" t="s">
        <v>1504</v>
      </c>
      <c r="D465" s="111" t="s">
        <v>747</v>
      </c>
      <c r="E465" s="111" t="s">
        <v>1506</v>
      </c>
      <c r="F465" s="111"/>
      <c r="G465" s="111" t="s">
        <v>1504</v>
      </c>
      <c r="H465" s="172">
        <v>11063</v>
      </c>
      <c r="I465" s="172">
        <f t="shared" si="21"/>
        <v>11063</v>
      </c>
      <c r="J465" s="111"/>
      <c r="L465" s="41">
        <f>VLOOKUP(E465,[3]단가!B$4:M$724,12,0)</f>
        <v>11063</v>
      </c>
      <c r="M465" s="118">
        <f t="shared" si="22"/>
        <v>0</v>
      </c>
      <c r="N465" s="481">
        <f t="shared" si="23"/>
        <v>0</v>
      </c>
    </row>
    <row r="466" spans="1:14">
      <c r="A466" s="111">
        <v>463</v>
      </c>
      <c r="B466" s="111" t="s">
        <v>1492</v>
      </c>
      <c r="C466" s="111" t="s">
        <v>1504</v>
      </c>
      <c r="D466" s="111" t="s">
        <v>747</v>
      </c>
      <c r="E466" s="111" t="s">
        <v>1507</v>
      </c>
      <c r="F466" s="111"/>
      <c r="G466" s="111"/>
      <c r="H466" s="172">
        <v>15123</v>
      </c>
      <c r="I466" s="172">
        <f t="shared" si="21"/>
        <v>15123</v>
      </c>
      <c r="J466" s="111"/>
      <c r="L466" s="41">
        <f>VLOOKUP(E466,[3]단가!B$4:M$724,12,0)</f>
        <v>15123</v>
      </c>
      <c r="M466" s="118">
        <f t="shared" si="22"/>
        <v>0</v>
      </c>
      <c r="N466" s="481">
        <f t="shared" si="23"/>
        <v>0</v>
      </c>
    </row>
    <row r="467" spans="1:14">
      <c r="A467" s="111">
        <v>464</v>
      </c>
      <c r="B467" s="111" t="s">
        <v>1492</v>
      </c>
      <c r="C467" s="111" t="s">
        <v>1504</v>
      </c>
      <c r="D467" s="111" t="s">
        <v>747</v>
      </c>
      <c r="E467" s="111" t="s">
        <v>1508</v>
      </c>
      <c r="F467" s="111"/>
      <c r="G467" s="111"/>
      <c r="H467" s="172">
        <v>6724</v>
      </c>
      <c r="I467" s="172">
        <f t="shared" si="21"/>
        <v>6724</v>
      </c>
      <c r="J467" s="111"/>
      <c r="L467" s="41">
        <f>VLOOKUP(E467,[3]단가!B$4:M$724,12,0)</f>
        <v>6724</v>
      </c>
      <c r="M467" s="118">
        <f t="shared" si="22"/>
        <v>0</v>
      </c>
      <c r="N467" s="481">
        <f t="shared" si="23"/>
        <v>0</v>
      </c>
    </row>
    <row r="468" spans="1:14">
      <c r="A468" s="111">
        <v>465</v>
      </c>
      <c r="B468" s="111" t="s">
        <v>1492</v>
      </c>
      <c r="C468" s="111" t="s">
        <v>1504</v>
      </c>
      <c r="D468" s="111" t="s">
        <v>747</v>
      </c>
      <c r="E468" s="111" t="s">
        <v>1509</v>
      </c>
      <c r="F468" s="111" t="s">
        <v>1504</v>
      </c>
      <c r="G468" s="111"/>
      <c r="H468" s="172">
        <v>7739</v>
      </c>
      <c r="I468" s="172">
        <f t="shared" si="21"/>
        <v>7739</v>
      </c>
      <c r="J468" s="111"/>
      <c r="L468" s="41">
        <f>VLOOKUP(E468,[3]단가!B$4:M$724,12,0)</f>
        <v>7739</v>
      </c>
      <c r="M468" s="118">
        <f t="shared" si="22"/>
        <v>0</v>
      </c>
      <c r="N468" s="481">
        <f t="shared" si="23"/>
        <v>0</v>
      </c>
    </row>
    <row r="469" spans="1:14">
      <c r="A469" s="111">
        <v>466</v>
      </c>
      <c r="B469" s="111" t="s">
        <v>1492</v>
      </c>
      <c r="C469" s="111" t="s">
        <v>1504</v>
      </c>
      <c r="D469" s="111" t="s">
        <v>1530</v>
      </c>
      <c r="E469" s="111" t="s">
        <v>1510</v>
      </c>
      <c r="F469" s="111" t="s">
        <v>1504</v>
      </c>
      <c r="G469" s="111"/>
      <c r="H469" s="172">
        <v>964</v>
      </c>
      <c r="I469" s="172">
        <f t="shared" si="21"/>
        <v>1060.4000000000001</v>
      </c>
      <c r="J469" s="111"/>
      <c r="L469" s="41">
        <f>VLOOKUP(E469,[3]단가!B$4:M$724,12,0)</f>
        <v>964</v>
      </c>
      <c r="M469" s="118">
        <f t="shared" si="22"/>
        <v>0</v>
      </c>
      <c r="N469" s="481">
        <f t="shared" si="23"/>
        <v>0</v>
      </c>
    </row>
    <row r="470" spans="1:14">
      <c r="A470" s="111">
        <v>467</v>
      </c>
      <c r="B470" s="111" t="s">
        <v>1492</v>
      </c>
      <c r="C470" s="111" t="s">
        <v>1504</v>
      </c>
      <c r="D470" s="111" t="s">
        <v>1530</v>
      </c>
      <c r="E470" s="111" t="s">
        <v>1511</v>
      </c>
      <c r="F470" s="111"/>
      <c r="G470" s="111"/>
      <c r="H470" s="172">
        <v>4709</v>
      </c>
      <c r="I470" s="172">
        <f t="shared" si="21"/>
        <v>5179.9000000000005</v>
      </c>
      <c r="J470" s="111"/>
      <c r="L470" s="41">
        <f>VLOOKUP(E470,[3]단가!B$4:M$724,12,0)</f>
        <v>4709</v>
      </c>
      <c r="M470" s="118">
        <f t="shared" si="22"/>
        <v>0</v>
      </c>
      <c r="N470" s="481">
        <f t="shared" si="23"/>
        <v>0</v>
      </c>
    </row>
    <row r="471" spans="1:14">
      <c r="A471" s="111">
        <v>468</v>
      </c>
      <c r="B471" s="111" t="s">
        <v>1492</v>
      </c>
      <c r="C471" s="111" t="s">
        <v>1504</v>
      </c>
      <c r="D471" s="111" t="s">
        <v>1530</v>
      </c>
      <c r="E471" s="111" t="s">
        <v>1512</v>
      </c>
      <c r="F471" s="111"/>
      <c r="G471" s="111"/>
      <c r="H471" s="172">
        <v>3603</v>
      </c>
      <c r="I471" s="172">
        <f t="shared" si="21"/>
        <v>3963.3</v>
      </c>
      <c r="J471" s="111"/>
      <c r="L471" s="41">
        <f>VLOOKUP(E471,[3]단가!B$4:M$724,12,0)</f>
        <v>3603</v>
      </c>
      <c r="M471" s="118">
        <f t="shared" si="22"/>
        <v>0</v>
      </c>
      <c r="N471" s="481">
        <f t="shared" si="23"/>
        <v>0</v>
      </c>
    </row>
    <row r="472" spans="1:14">
      <c r="A472" s="111">
        <v>469</v>
      </c>
      <c r="B472" s="111" t="s">
        <v>1492</v>
      </c>
      <c r="C472" s="111" t="s">
        <v>1504</v>
      </c>
      <c r="D472" s="111" t="s">
        <v>1530</v>
      </c>
      <c r="E472" s="111" t="s">
        <v>1513</v>
      </c>
      <c r="F472" s="111"/>
      <c r="G472" s="111"/>
      <c r="H472" s="172">
        <v>4476</v>
      </c>
      <c r="I472" s="172">
        <f t="shared" si="21"/>
        <v>4923.6000000000004</v>
      </c>
      <c r="J472" s="111"/>
      <c r="L472" s="41">
        <f>VLOOKUP(E472,[3]단가!B$4:M$724,12,0)</f>
        <v>4476</v>
      </c>
      <c r="M472" s="118">
        <f t="shared" si="22"/>
        <v>0</v>
      </c>
      <c r="N472" s="481">
        <f t="shared" si="23"/>
        <v>0</v>
      </c>
    </row>
    <row r="473" spans="1:14">
      <c r="A473" s="111">
        <v>470</v>
      </c>
      <c r="B473" s="111" t="s">
        <v>1492</v>
      </c>
      <c r="C473" s="111" t="s">
        <v>1514</v>
      </c>
      <c r="D473" s="111" t="s">
        <v>1530</v>
      </c>
      <c r="E473" s="111" t="s">
        <v>1515</v>
      </c>
      <c r="F473" s="111"/>
      <c r="G473" s="111"/>
      <c r="H473" s="172">
        <v>9236</v>
      </c>
      <c r="I473" s="172">
        <f t="shared" si="21"/>
        <v>10159.6</v>
      </c>
      <c r="J473" s="111"/>
      <c r="L473" s="41">
        <f>VLOOKUP(E473,[3]단가!B$4:M$724,12,0)</f>
        <v>9236</v>
      </c>
      <c r="M473" s="118">
        <f t="shared" si="22"/>
        <v>0</v>
      </c>
      <c r="N473" s="481">
        <f t="shared" si="23"/>
        <v>0</v>
      </c>
    </row>
    <row r="474" spans="1:14">
      <c r="A474" s="111">
        <v>471</v>
      </c>
      <c r="B474" s="111" t="s">
        <v>1492</v>
      </c>
      <c r="C474" s="111" t="s">
        <v>1514</v>
      </c>
      <c r="D474" s="111" t="s">
        <v>1530</v>
      </c>
      <c r="E474" s="111" t="s">
        <v>1516</v>
      </c>
      <c r="F474" s="111"/>
      <c r="G474" s="111"/>
      <c r="H474" s="172">
        <v>9439</v>
      </c>
      <c r="I474" s="172">
        <f t="shared" si="21"/>
        <v>10382.900000000001</v>
      </c>
      <c r="J474" s="111"/>
      <c r="L474" s="41">
        <f>VLOOKUP(E474,[3]단가!B$4:M$724,12,0)</f>
        <v>9439</v>
      </c>
      <c r="M474" s="118">
        <f t="shared" si="22"/>
        <v>0</v>
      </c>
      <c r="N474" s="481">
        <f t="shared" si="23"/>
        <v>0</v>
      </c>
    </row>
    <row r="475" spans="1:14">
      <c r="A475" s="111">
        <v>472</v>
      </c>
      <c r="B475" s="111" t="s">
        <v>1492</v>
      </c>
      <c r="C475" s="111" t="s">
        <v>1514</v>
      </c>
      <c r="D475" s="111" t="s">
        <v>1530</v>
      </c>
      <c r="E475" s="111" t="s">
        <v>1517</v>
      </c>
      <c r="F475" s="111"/>
      <c r="G475" s="111"/>
      <c r="H475" s="172">
        <v>10759</v>
      </c>
      <c r="I475" s="172">
        <f t="shared" si="21"/>
        <v>11834.900000000001</v>
      </c>
      <c r="J475" s="111"/>
      <c r="L475" s="41">
        <f>VLOOKUP(E475,[3]단가!B$4:M$724,12,0)</f>
        <v>10759</v>
      </c>
      <c r="M475" s="118">
        <f t="shared" si="22"/>
        <v>0</v>
      </c>
      <c r="N475" s="481">
        <f t="shared" si="23"/>
        <v>0</v>
      </c>
    </row>
    <row r="476" spans="1:14">
      <c r="A476" s="111">
        <v>473</v>
      </c>
      <c r="B476" s="111" t="s">
        <v>1492</v>
      </c>
      <c r="C476" s="111" t="s">
        <v>1514</v>
      </c>
      <c r="D476" s="111" t="s">
        <v>1530</v>
      </c>
      <c r="E476" s="111" t="s">
        <v>1518</v>
      </c>
      <c r="F476" s="111"/>
      <c r="G476" s="111"/>
      <c r="H476" s="172">
        <v>13398</v>
      </c>
      <c r="I476" s="172">
        <f t="shared" si="21"/>
        <v>14737.800000000001</v>
      </c>
      <c r="J476" s="111"/>
      <c r="L476" s="41">
        <f>VLOOKUP(E476,[3]단가!B$4:M$724,12,0)</f>
        <v>13398</v>
      </c>
      <c r="M476" s="118">
        <f t="shared" si="22"/>
        <v>0</v>
      </c>
      <c r="N476" s="481">
        <f t="shared" si="23"/>
        <v>0</v>
      </c>
    </row>
    <row r="477" spans="1:14">
      <c r="A477" s="111">
        <v>474</v>
      </c>
      <c r="B477" s="111" t="s">
        <v>1492</v>
      </c>
      <c r="C477" s="111" t="s">
        <v>1514</v>
      </c>
      <c r="D477" s="111" t="s">
        <v>1530</v>
      </c>
      <c r="E477" s="111" t="s">
        <v>1519</v>
      </c>
      <c r="F477" s="111" t="s">
        <v>1514</v>
      </c>
      <c r="G477" s="111"/>
      <c r="H477" s="172">
        <v>13601</v>
      </c>
      <c r="I477" s="172">
        <f t="shared" si="21"/>
        <v>14961.1</v>
      </c>
      <c r="J477" s="111"/>
      <c r="L477" s="41">
        <f>VLOOKUP(E477,[3]단가!B$4:M$724,12,0)</f>
        <v>13601</v>
      </c>
      <c r="M477" s="118">
        <f t="shared" si="22"/>
        <v>0</v>
      </c>
      <c r="N477" s="481">
        <f t="shared" si="23"/>
        <v>0</v>
      </c>
    </row>
    <row r="478" spans="1:14">
      <c r="A478" s="111">
        <v>475</v>
      </c>
      <c r="B478" s="111" t="s">
        <v>1492</v>
      </c>
      <c r="C478" s="111" t="s">
        <v>1514</v>
      </c>
      <c r="D478" s="111" t="s">
        <v>1530</v>
      </c>
      <c r="E478" s="111" t="s">
        <v>1520</v>
      </c>
      <c r="F478" s="111"/>
      <c r="G478" s="111"/>
      <c r="H478" s="172">
        <v>11905</v>
      </c>
      <c r="I478" s="172">
        <f t="shared" si="21"/>
        <v>13095.500000000002</v>
      </c>
      <c r="J478" s="111"/>
      <c r="L478" s="41">
        <f>VLOOKUP(E478,[3]단가!B$4:M$724,12,0)</f>
        <v>11905</v>
      </c>
      <c r="M478" s="118">
        <f t="shared" si="22"/>
        <v>0</v>
      </c>
      <c r="N478" s="481">
        <f t="shared" si="23"/>
        <v>0</v>
      </c>
    </row>
    <row r="479" spans="1:14">
      <c r="A479" s="111">
        <v>476</v>
      </c>
      <c r="B479" s="111" t="s">
        <v>1492</v>
      </c>
      <c r="C479" s="111" t="s">
        <v>1514</v>
      </c>
      <c r="D479" s="111" t="s">
        <v>1530</v>
      </c>
      <c r="E479" s="111" t="s">
        <v>1521</v>
      </c>
      <c r="F479" s="111"/>
      <c r="G479" s="111"/>
      <c r="H479" s="172">
        <v>11997</v>
      </c>
      <c r="I479" s="172">
        <f t="shared" si="21"/>
        <v>13196.7</v>
      </c>
      <c r="J479" s="111"/>
      <c r="L479" s="41">
        <f>VLOOKUP(E479,[3]단가!B$4:M$724,12,0)</f>
        <v>11997</v>
      </c>
      <c r="M479" s="118">
        <f t="shared" si="22"/>
        <v>0</v>
      </c>
      <c r="N479" s="481">
        <f t="shared" si="23"/>
        <v>0</v>
      </c>
    </row>
    <row r="480" spans="1:14">
      <c r="A480" s="111">
        <v>477</v>
      </c>
      <c r="B480" s="111" t="s">
        <v>1492</v>
      </c>
      <c r="C480" s="111" t="s">
        <v>1522</v>
      </c>
      <c r="D480" s="111" t="s">
        <v>747</v>
      </c>
      <c r="E480" s="111" t="s">
        <v>1523</v>
      </c>
      <c r="F480" s="111" t="s">
        <v>1522</v>
      </c>
      <c r="G480" s="111"/>
      <c r="H480" s="172">
        <v>14210</v>
      </c>
      <c r="I480" s="172">
        <f t="shared" si="21"/>
        <v>14210</v>
      </c>
      <c r="J480" s="111"/>
      <c r="L480" s="41">
        <f>VLOOKUP(E480,[3]단가!B$4:M$724,12,0)</f>
        <v>14210</v>
      </c>
      <c r="M480" s="118">
        <f t="shared" si="22"/>
        <v>0</v>
      </c>
      <c r="N480" s="481">
        <f t="shared" si="23"/>
        <v>0</v>
      </c>
    </row>
    <row r="481" spans="1:14">
      <c r="A481" s="111">
        <v>478</v>
      </c>
      <c r="B481" s="111" t="s">
        <v>1492</v>
      </c>
      <c r="C481" s="111" t="s">
        <v>1522</v>
      </c>
      <c r="D481" s="111" t="s">
        <v>747</v>
      </c>
      <c r="E481" s="111" t="s">
        <v>178</v>
      </c>
      <c r="F481" s="111" t="s">
        <v>1522</v>
      </c>
      <c r="G481" s="111"/>
      <c r="H481" s="172">
        <v>17255</v>
      </c>
      <c r="I481" s="172">
        <f t="shared" si="21"/>
        <v>17255</v>
      </c>
      <c r="J481" s="111"/>
      <c r="L481" s="41">
        <f>VLOOKUP(E481,[3]단가!B$4:M$724,12,0)</f>
        <v>17255</v>
      </c>
      <c r="M481" s="118">
        <f t="shared" si="22"/>
        <v>0</v>
      </c>
      <c r="N481" s="481">
        <f t="shared" si="23"/>
        <v>0</v>
      </c>
    </row>
    <row r="482" spans="1:14">
      <c r="A482" s="111">
        <v>479</v>
      </c>
      <c r="B482" s="111" t="s">
        <v>1492</v>
      </c>
      <c r="C482" s="111" t="s">
        <v>1522</v>
      </c>
      <c r="D482" s="111" t="s">
        <v>747</v>
      </c>
      <c r="E482" s="111" t="s">
        <v>1524</v>
      </c>
      <c r="F482" s="111"/>
      <c r="G482" s="111"/>
      <c r="H482" s="172">
        <v>36164</v>
      </c>
      <c r="I482" s="172">
        <f t="shared" si="21"/>
        <v>36164</v>
      </c>
      <c r="J482" s="111"/>
      <c r="L482" s="41">
        <f>VLOOKUP(E482,[3]단가!B$4:M$724,12,0)</f>
        <v>36164</v>
      </c>
      <c r="M482" s="118">
        <f t="shared" si="22"/>
        <v>0</v>
      </c>
      <c r="N482" s="481">
        <f t="shared" si="23"/>
        <v>0</v>
      </c>
    </row>
    <row r="483" spans="1:14">
      <c r="A483" s="111">
        <v>480</v>
      </c>
      <c r="B483" s="111" t="s">
        <v>34</v>
      </c>
      <c r="C483" s="111" t="s">
        <v>440</v>
      </c>
      <c r="D483" s="111" t="s">
        <v>1530</v>
      </c>
      <c r="E483" s="111" t="s">
        <v>1525</v>
      </c>
      <c r="F483" s="111" t="s">
        <v>159</v>
      </c>
      <c r="G483" s="111" t="s">
        <v>1526</v>
      </c>
      <c r="H483" s="191">
        <v>340025</v>
      </c>
      <c r="I483" s="172">
        <f t="shared" si="21"/>
        <v>374027.50000000006</v>
      </c>
      <c r="J483" s="111"/>
      <c r="L483" s="41">
        <f>VLOOKUP(E483,[3]단가!B$4:M$724,12,0)</f>
        <v>340025</v>
      </c>
      <c r="M483" s="118">
        <f t="shared" si="22"/>
        <v>0</v>
      </c>
      <c r="N483" s="481">
        <f t="shared" si="23"/>
        <v>0</v>
      </c>
    </row>
    <row r="484" spans="1:14">
      <c r="A484" s="111">
        <v>481</v>
      </c>
      <c r="B484" s="111" t="s">
        <v>34</v>
      </c>
      <c r="C484" s="111" t="s">
        <v>440</v>
      </c>
      <c r="D484" s="111" t="s">
        <v>1530</v>
      </c>
      <c r="E484" s="111" t="s">
        <v>1527</v>
      </c>
      <c r="F484" s="111" t="s">
        <v>159</v>
      </c>
      <c r="G484" s="111" t="s">
        <v>1526</v>
      </c>
      <c r="H484" s="191">
        <v>325510</v>
      </c>
      <c r="I484" s="172">
        <f t="shared" si="21"/>
        <v>358061</v>
      </c>
      <c r="J484" s="111"/>
      <c r="L484" s="41">
        <f>VLOOKUP(E484,[3]단가!B$4:M$724,12,0)</f>
        <v>325510</v>
      </c>
      <c r="M484" s="118">
        <f t="shared" si="22"/>
        <v>0</v>
      </c>
      <c r="N484" s="481">
        <f t="shared" si="23"/>
        <v>0</v>
      </c>
    </row>
    <row r="485" spans="1:14">
      <c r="A485" s="111">
        <v>482</v>
      </c>
      <c r="B485" s="111" t="s">
        <v>34</v>
      </c>
      <c r="C485" s="111" t="s">
        <v>440</v>
      </c>
      <c r="D485" s="111" t="s">
        <v>1530</v>
      </c>
      <c r="E485" s="111" t="s">
        <v>1528</v>
      </c>
      <c r="F485" s="111" t="s">
        <v>159</v>
      </c>
      <c r="G485" s="111" t="s">
        <v>1526</v>
      </c>
      <c r="H485" s="191">
        <v>354336</v>
      </c>
      <c r="I485" s="172">
        <f t="shared" si="21"/>
        <v>389769.60000000003</v>
      </c>
      <c r="J485" s="111"/>
      <c r="L485" s="41">
        <f>VLOOKUP(E485,[3]단가!B$4:M$724,12,0)</f>
        <v>354336</v>
      </c>
      <c r="M485" s="118">
        <f t="shared" si="22"/>
        <v>0</v>
      </c>
      <c r="N485" s="481">
        <f t="shared" si="23"/>
        <v>0</v>
      </c>
    </row>
    <row r="486" spans="1:14">
      <c r="A486" s="111">
        <v>483</v>
      </c>
      <c r="B486" s="111" t="s">
        <v>34</v>
      </c>
      <c r="C486" s="111" t="s">
        <v>440</v>
      </c>
      <c r="D486" s="111" t="s">
        <v>1530</v>
      </c>
      <c r="E486" s="111" t="s">
        <v>1529</v>
      </c>
      <c r="F486" s="111" t="s">
        <v>159</v>
      </c>
      <c r="G486" s="111" t="s">
        <v>1526</v>
      </c>
      <c r="H486" s="191">
        <v>339822</v>
      </c>
      <c r="I486" s="172">
        <f t="shared" si="21"/>
        <v>373804.2</v>
      </c>
      <c r="J486" s="111"/>
      <c r="L486" s="41">
        <f>VLOOKUP(E486,[3]단가!B$4:M$724,12,0)</f>
        <v>339822</v>
      </c>
      <c r="M486" s="118">
        <f t="shared" si="22"/>
        <v>0</v>
      </c>
      <c r="N486" s="481">
        <f t="shared" si="23"/>
        <v>0</v>
      </c>
    </row>
    <row r="487" spans="1:14">
      <c r="A487" s="111">
        <v>484</v>
      </c>
      <c r="B487" s="111" t="s">
        <v>257</v>
      </c>
      <c r="C487" s="111" t="s">
        <v>257</v>
      </c>
      <c r="D487" s="111" t="s">
        <v>1530</v>
      </c>
      <c r="E487" s="111" t="s">
        <v>1531</v>
      </c>
      <c r="F487" s="111" t="s">
        <v>257</v>
      </c>
      <c r="G487" s="111"/>
      <c r="H487" s="172">
        <v>5541</v>
      </c>
      <c r="I487" s="172">
        <f t="shared" si="21"/>
        <v>6095.1</v>
      </c>
      <c r="J487" s="111"/>
      <c r="L487" s="41">
        <f>VLOOKUP(E487,[3]단가!B$4:M$724,12,0)</f>
        <v>5541</v>
      </c>
      <c r="M487" s="118">
        <f t="shared" si="22"/>
        <v>0</v>
      </c>
      <c r="N487" s="481">
        <f t="shared" si="23"/>
        <v>0</v>
      </c>
    </row>
    <row r="488" spans="1:14">
      <c r="A488" s="111">
        <v>485</v>
      </c>
      <c r="B488" s="111" t="s">
        <v>257</v>
      </c>
      <c r="C488" s="111" t="s">
        <v>257</v>
      </c>
      <c r="D488" s="111" t="s">
        <v>1530</v>
      </c>
      <c r="E488" s="111" t="s">
        <v>264</v>
      </c>
      <c r="F488" s="111" t="s">
        <v>257</v>
      </c>
      <c r="G488" s="111"/>
      <c r="H488" s="172">
        <v>12101</v>
      </c>
      <c r="I488" s="172">
        <f t="shared" si="21"/>
        <v>13311.1</v>
      </c>
      <c r="J488" s="111"/>
      <c r="L488" s="41">
        <f>VLOOKUP(E488,[3]단가!B$4:M$724,12,0)</f>
        <v>12101</v>
      </c>
      <c r="M488" s="118">
        <f t="shared" si="22"/>
        <v>0</v>
      </c>
      <c r="N488" s="481">
        <f t="shared" si="23"/>
        <v>0</v>
      </c>
    </row>
    <row r="489" spans="1:14">
      <c r="A489" s="111">
        <v>486</v>
      </c>
      <c r="B489" s="111" t="s">
        <v>257</v>
      </c>
      <c r="C489" s="111" t="s">
        <v>257</v>
      </c>
      <c r="D489" s="111" t="s">
        <v>1530</v>
      </c>
      <c r="E489" s="111" t="s">
        <v>1532</v>
      </c>
      <c r="F489" s="111" t="s">
        <v>257</v>
      </c>
      <c r="G489" s="111"/>
      <c r="H489" s="172">
        <v>45092</v>
      </c>
      <c r="I489" s="172">
        <f t="shared" si="21"/>
        <v>49601.200000000004</v>
      </c>
      <c r="J489" s="111"/>
      <c r="L489" s="41">
        <f>VLOOKUP(E489,[3]단가!B$4:M$724,12,0)</f>
        <v>45092</v>
      </c>
      <c r="M489" s="118">
        <f t="shared" si="22"/>
        <v>0</v>
      </c>
      <c r="N489" s="481">
        <f t="shared" si="23"/>
        <v>0</v>
      </c>
    </row>
    <row r="490" spans="1:14">
      <c r="A490" s="111">
        <v>487</v>
      </c>
      <c r="B490" s="111" t="s">
        <v>257</v>
      </c>
      <c r="C490" s="111" t="s">
        <v>257</v>
      </c>
      <c r="D490" s="111" t="s">
        <v>1530</v>
      </c>
      <c r="E490" s="111" t="s">
        <v>1533</v>
      </c>
      <c r="F490" s="111" t="s">
        <v>257</v>
      </c>
      <c r="G490" s="111"/>
      <c r="H490" s="172">
        <v>77059</v>
      </c>
      <c r="I490" s="172">
        <f t="shared" si="21"/>
        <v>84764.900000000009</v>
      </c>
      <c r="J490" s="111"/>
      <c r="L490" s="41">
        <f>VLOOKUP(E490,[3]단가!B$4:M$724,12,0)</f>
        <v>77059</v>
      </c>
      <c r="M490" s="118">
        <f t="shared" si="22"/>
        <v>0</v>
      </c>
      <c r="N490" s="481">
        <f t="shared" si="23"/>
        <v>0</v>
      </c>
    </row>
    <row r="491" spans="1:14">
      <c r="A491" s="111">
        <v>488</v>
      </c>
      <c r="B491" s="111" t="s">
        <v>257</v>
      </c>
      <c r="C491" s="111" t="s">
        <v>257</v>
      </c>
      <c r="D491" s="111" t="s">
        <v>1530</v>
      </c>
      <c r="E491" s="111" t="s">
        <v>1534</v>
      </c>
      <c r="F491" s="111"/>
      <c r="G491" s="111" t="s">
        <v>276</v>
      </c>
      <c r="H491" s="172">
        <v>20300</v>
      </c>
      <c r="I491" s="172">
        <f t="shared" si="21"/>
        <v>22330</v>
      </c>
      <c r="J491" s="111"/>
      <c r="L491" s="41">
        <f>VLOOKUP(E491,[3]단가!B$4:M$724,12,0)</f>
        <v>20300</v>
      </c>
      <c r="M491" s="118">
        <f t="shared" si="22"/>
        <v>0</v>
      </c>
      <c r="N491" s="481">
        <f t="shared" si="23"/>
        <v>0</v>
      </c>
    </row>
    <row r="492" spans="1:14">
      <c r="A492" s="111">
        <v>489</v>
      </c>
      <c r="B492" s="111" t="s">
        <v>257</v>
      </c>
      <c r="C492" s="111" t="s">
        <v>257</v>
      </c>
      <c r="D492" s="111" t="s">
        <v>1530</v>
      </c>
      <c r="E492" s="111" t="s">
        <v>1535</v>
      </c>
      <c r="F492" s="111"/>
      <c r="G492" s="111" t="s">
        <v>276</v>
      </c>
      <c r="H492" s="172">
        <v>29435</v>
      </c>
      <c r="I492" s="172">
        <f t="shared" si="21"/>
        <v>32378.500000000004</v>
      </c>
      <c r="J492" s="111"/>
      <c r="L492" s="41">
        <f>VLOOKUP(E492,[3]단가!B$4:M$724,12,0)</f>
        <v>29435</v>
      </c>
      <c r="M492" s="118">
        <f t="shared" si="22"/>
        <v>0</v>
      </c>
      <c r="N492" s="481">
        <f t="shared" si="23"/>
        <v>0</v>
      </c>
    </row>
    <row r="493" spans="1:14">
      <c r="A493" s="111">
        <v>490</v>
      </c>
      <c r="B493" s="111" t="s">
        <v>257</v>
      </c>
      <c r="C493" s="111" t="s">
        <v>257</v>
      </c>
      <c r="D493" s="111" t="s">
        <v>1530</v>
      </c>
      <c r="E493" s="111" t="s">
        <v>1536</v>
      </c>
      <c r="F493" s="111" t="s">
        <v>257</v>
      </c>
      <c r="G493" s="111"/>
      <c r="H493" s="172">
        <v>56692</v>
      </c>
      <c r="I493" s="172">
        <f t="shared" si="21"/>
        <v>62361.200000000004</v>
      </c>
      <c r="J493" s="111"/>
      <c r="L493" s="41">
        <f>VLOOKUP(E493,[3]단가!B$4:M$724,12,0)</f>
        <v>56692</v>
      </c>
      <c r="M493" s="118">
        <f t="shared" si="22"/>
        <v>0</v>
      </c>
      <c r="N493" s="481">
        <f t="shared" si="23"/>
        <v>0</v>
      </c>
    </row>
    <row r="494" spans="1:14">
      <c r="A494" s="111">
        <v>491</v>
      </c>
      <c r="B494" s="111" t="s">
        <v>257</v>
      </c>
      <c r="C494" s="111" t="s">
        <v>257</v>
      </c>
      <c r="D494" s="111" t="s">
        <v>1530</v>
      </c>
      <c r="E494" s="111" t="s">
        <v>1537</v>
      </c>
      <c r="F494" s="111" t="s">
        <v>257</v>
      </c>
      <c r="G494" s="111"/>
      <c r="H494" s="172">
        <v>8117</v>
      </c>
      <c r="I494" s="172">
        <f t="shared" si="21"/>
        <v>8928.7000000000007</v>
      </c>
      <c r="J494" s="111"/>
      <c r="L494" s="41">
        <f>VLOOKUP(E494,[3]단가!B$4:M$724,12,0)</f>
        <v>8117</v>
      </c>
      <c r="M494" s="118">
        <f t="shared" si="22"/>
        <v>0</v>
      </c>
      <c r="N494" s="481">
        <f t="shared" si="23"/>
        <v>0</v>
      </c>
    </row>
    <row r="495" spans="1:14">
      <c r="A495" s="111">
        <v>492</v>
      </c>
      <c r="B495" s="111" t="s">
        <v>257</v>
      </c>
      <c r="C495" s="111" t="s">
        <v>257</v>
      </c>
      <c r="D495" s="111" t="s">
        <v>1530</v>
      </c>
      <c r="E495" s="111" t="s">
        <v>1538</v>
      </c>
      <c r="F495" s="111" t="s">
        <v>257</v>
      </c>
      <c r="G495" s="111"/>
      <c r="H495" s="172">
        <v>12291</v>
      </c>
      <c r="I495" s="172">
        <f t="shared" si="21"/>
        <v>13520.1</v>
      </c>
      <c r="J495" s="111"/>
      <c r="L495" s="41">
        <f>VLOOKUP(E495,[3]단가!B$4:M$724,12,0)</f>
        <v>12291</v>
      </c>
      <c r="M495" s="118">
        <f t="shared" si="22"/>
        <v>0</v>
      </c>
      <c r="N495" s="481">
        <f t="shared" si="23"/>
        <v>0</v>
      </c>
    </row>
    <row r="496" spans="1:14">
      <c r="A496" s="111">
        <v>493</v>
      </c>
      <c r="B496" s="111" t="s">
        <v>257</v>
      </c>
      <c r="C496" s="111" t="s">
        <v>257</v>
      </c>
      <c r="D496" s="111" t="s">
        <v>1530</v>
      </c>
      <c r="E496" s="111" t="s">
        <v>2442</v>
      </c>
      <c r="F496" s="111" t="s">
        <v>2443</v>
      </c>
      <c r="G496" s="486" t="s">
        <v>2444</v>
      </c>
      <c r="H496" s="487">
        <v>3338</v>
      </c>
      <c r="I496" s="487">
        <f t="shared" si="21"/>
        <v>3671.8</v>
      </c>
      <c r="J496" s="111"/>
      <c r="L496" s="41">
        <f>VLOOKUP(E496,[3]단가!B$4:M$724,12,0)</f>
        <v>3338</v>
      </c>
      <c r="M496" s="118">
        <f t="shared" si="22"/>
        <v>0</v>
      </c>
      <c r="N496" s="481">
        <f t="shared" si="23"/>
        <v>0</v>
      </c>
    </row>
    <row r="497" spans="1:14">
      <c r="A497" s="111">
        <v>494</v>
      </c>
      <c r="B497" s="111" t="s">
        <v>257</v>
      </c>
      <c r="C497" s="111" t="s">
        <v>257</v>
      </c>
      <c r="D497" s="111" t="s">
        <v>1530</v>
      </c>
      <c r="E497" s="111" t="s">
        <v>1539</v>
      </c>
      <c r="F497" s="111" t="s">
        <v>1540</v>
      </c>
      <c r="G497" s="111"/>
      <c r="H497" s="172">
        <v>2725</v>
      </c>
      <c r="I497" s="172">
        <f t="shared" si="21"/>
        <v>2997.5000000000005</v>
      </c>
      <c r="J497" s="111"/>
      <c r="L497" s="41">
        <f>VLOOKUP(E497,[3]단가!B$4:M$724,12,0)</f>
        <v>2725</v>
      </c>
      <c r="M497" s="118">
        <f t="shared" si="22"/>
        <v>0</v>
      </c>
      <c r="N497" s="481">
        <f t="shared" si="23"/>
        <v>0</v>
      </c>
    </row>
    <row r="498" spans="1:14">
      <c r="A498" s="111">
        <v>495</v>
      </c>
      <c r="B498" s="111" t="s">
        <v>257</v>
      </c>
      <c r="C498" s="111" t="s">
        <v>257</v>
      </c>
      <c r="D498" s="111" t="s">
        <v>1530</v>
      </c>
      <c r="E498" s="111" t="s">
        <v>1541</v>
      </c>
      <c r="F498" s="111" t="s">
        <v>257</v>
      </c>
      <c r="G498" s="111"/>
      <c r="H498" s="172">
        <v>4352</v>
      </c>
      <c r="I498" s="172">
        <f t="shared" si="21"/>
        <v>4787.2000000000007</v>
      </c>
      <c r="J498" s="111"/>
      <c r="L498" s="41">
        <f>VLOOKUP(E498,[3]단가!B$4:M$724,12,0)</f>
        <v>4352</v>
      </c>
      <c r="M498" s="118">
        <f t="shared" si="22"/>
        <v>0</v>
      </c>
      <c r="N498" s="481">
        <f t="shared" si="23"/>
        <v>0</v>
      </c>
    </row>
    <row r="499" spans="1:14">
      <c r="A499" s="111">
        <v>496</v>
      </c>
      <c r="B499" s="111" t="s">
        <v>257</v>
      </c>
      <c r="C499" s="111" t="s">
        <v>257</v>
      </c>
      <c r="D499" s="111" t="s">
        <v>1530</v>
      </c>
      <c r="E499" s="111" t="s">
        <v>341</v>
      </c>
      <c r="F499" s="111" t="s">
        <v>257</v>
      </c>
      <c r="G499" s="111"/>
      <c r="H499" s="172">
        <v>927</v>
      </c>
      <c r="I499" s="172">
        <f t="shared" si="21"/>
        <v>1019.7</v>
      </c>
      <c r="J499" s="111"/>
      <c r="L499" s="41">
        <f>VLOOKUP(E499,[3]단가!B$4:M$724,12,0)</f>
        <v>927</v>
      </c>
      <c r="M499" s="118">
        <f t="shared" si="22"/>
        <v>0</v>
      </c>
      <c r="N499" s="481">
        <f t="shared" si="23"/>
        <v>0</v>
      </c>
    </row>
    <row r="500" spans="1:14">
      <c r="A500" s="111">
        <v>497</v>
      </c>
      <c r="B500" s="111" t="s">
        <v>257</v>
      </c>
      <c r="C500" s="111" t="s">
        <v>257</v>
      </c>
      <c r="D500" s="111" t="s">
        <v>1530</v>
      </c>
      <c r="E500" s="111" t="s">
        <v>574</v>
      </c>
      <c r="F500" s="111" t="s">
        <v>257</v>
      </c>
      <c r="G500" s="111"/>
      <c r="H500" s="172">
        <v>743</v>
      </c>
      <c r="I500" s="172">
        <f t="shared" si="21"/>
        <v>817.30000000000007</v>
      </c>
      <c r="J500" s="111"/>
      <c r="L500" s="41">
        <f>VLOOKUP(E500,[3]단가!B$4:M$724,12,0)</f>
        <v>743</v>
      </c>
      <c r="M500" s="118">
        <f t="shared" si="22"/>
        <v>0</v>
      </c>
      <c r="N500" s="481">
        <f t="shared" si="23"/>
        <v>0</v>
      </c>
    </row>
    <row r="501" spans="1:14">
      <c r="A501" s="111">
        <v>498</v>
      </c>
      <c r="B501" s="111" t="s">
        <v>257</v>
      </c>
      <c r="C501" s="111" t="s">
        <v>257</v>
      </c>
      <c r="D501" s="111" t="s">
        <v>1530</v>
      </c>
      <c r="E501" s="111" t="s">
        <v>305</v>
      </c>
      <c r="F501" s="111" t="s">
        <v>257</v>
      </c>
      <c r="G501" s="111"/>
      <c r="H501" s="172">
        <v>1088</v>
      </c>
      <c r="I501" s="172">
        <f t="shared" si="21"/>
        <v>1196.8000000000002</v>
      </c>
      <c r="J501" s="111"/>
      <c r="L501" s="41">
        <f>VLOOKUP(E501,[3]단가!B$4:M$724,12,0)</f>
        <v>1088</v>
      </c>
      <c r="M501" s="118">
        <f t="shared" si="22"/>
        <v>0</v>
      </c>
      <c r="N501" s="481">
        <f t="shared" si="23"/>
        <v>0</v>
      </c>
    </row>
    <row r="502" spans="1:14">
      <c r="A502" s="111">
        <v>499</v>
      </c>
      <c r="B502" s="111" t="s">
        <v>257</v>
      </c>
      <c r="C502" s="111" t="s">
        <v>257</v>
      </c>
      <c r="D502" s="111" t="s">
        <v>1530</v>
      </c>
      <c r="E502" s="111" t="s">
        <v>1542</v>
      </c>
      <c r="F502" s="111" t="s">
        <v>257</v>
      </c>
      <c r="G502" s="111"/>
      <c r="H502" s="172">
        <v>1409</v>
      </c>
      <c r="I502" s="172">
        <f t="shared" si="21"/>
        <v>1549.9</v>
      </c>
      <c r="J502" s="111"/>
      <c r="L502" s="41">
        <f>VLOOKUP(E502,[3]단가!B$4:M$724,12,0)</f>
        <v>1409</v>
      </c>
      <c r="M502" s="118">
        <f t="shared" si="22"/>
        <v>0</v>
      </c>
      <c r="N502" s="481">
        <f t="shared" si="23"/>
        <v>0</v>
      </c>
    </row>
    <row r="503" spans="1:14">
      <c r="A503" s="111">
        <v>500</v>
      </c>
      <c r="B503" s="111" t="s">
        <v>257</v>
      </c>
      <c r="C503" s="111" t="s">
        <v>257</v>
      </c>
      <c r="D503" s="111" t="s">
        <v>1530</v>
      </c>
      <c r="E503" s="111" t="s">
        <v>312</v>
      </c>
      <c r="F503" s="111" t="s">
        <v>257</v>
      </c>
      <c r="G503" s="111"/>
      <c r="H503" s="172">
        <v>1607</v>
      </c>
      <c r="I503" s="172">
        <f t="shared" si="21"/>
        <v>1767.7</v>
      </c>
      <c r="J503" s="111"/>
      <c r="L503" s="41">
        <f>VLOOKUP(E503,[3]단가!B$4:M$724,12,0)</f>
        <v>1607</v>
      </c>
      <c r="M503" s="118">
        <f t="shared" si="22"/>
        <v>0</v>
      </c>
      <c r="N503" s="481">
        <f t="shared" si="23"/>
        <v>0</v>
      </c>
    </row>
    <row r="504" spans="1:14">
      <c r="A504" s="111">
        <v>501</v>
      </c>
      <c r="B504" s="111" t="s">
        <v>257</v>
      </c>
      <c r="C504" s="111" t="s">
        <v>257</v>
      </c>
      <c r="D504" s="111" t="s">
        <v>1530</v>
      </c>
      <c r="E504" s="111" t="s">
        <v>335</v>
      </c>
      <c r="F504" s="111" t="s">
        <v>257</v>
      </c>
      <c r="G504" s="111"/>
      <c r="H504" s="172">
        <v>3353</v>
      </c>
      <c r="I504" s="172">
        <f t="shared" si="21"/>
        <v>3688.3</v>
      </c>
      <c r="J504" s="111"/>
      <c r="L504" s="41">
        <f>VLOOKUP(E504,[3]단가!B$4:M$724,12,0)</f>
        <v>3353</v>
      </c>
      <c r="M504" s="118">
        <f t="shared" si="22"/>
        <v>0</v>
      </c>
      <c r="N504" s="481">
        <f t="shared" si="23"/>
        <v>0</v>
      </c>
    </row>
    <row r="505" spans="1:14">
      <c r="A505" s="111">
        <v>502</v>
      </c>
      <c r="B505" s="111" t="s">
        <v>257</v>
      </c>
      <c r="C505" s="111" t="s">
        <v>257</v>
      </c>
      <c r="D505" s="111" t="s">
        <v>1530</v>
      </c>
      <c r="E505" s="111" t="s">
        <v>318</v>
      </c>
      <c r="F505" s="111" t="s">
        <v>257</v>
      </c>
      <c r="G505" s="111"/>
      <c r="H505" s="172">
        <v>3634</v>
      </c>
      <c r="I505" s="172">
        <f t="shared" si="21"/>
        <v>3997.4000000000005</v>
      </c>
      <c r="J505" s="111"/>
      <c r="L505" s="41">
        <f>VLOOKUP(E505,[3]단가!B$4:M$724,12,0)</f>
        <v>3634</v>
      </c>
      <c r="M505" s="118">
        <f t="shared" si="22"/>
        <v>0</v>
      </c>
      <c r="N505" s="481">
        <f t="shared" si="23"/>
        <v>0</v>
      </c>
    </row>
    <row r="506" spans="1:14">
      <c r="A506" s="111">
        <v>503</v>
      </c>
      <c r="B506" s="111" t="s">
        <v>257</v>
      </c>
      <c r="C506" s="111" t="s">
        <v>257</v>
      </c>
      <c r="D506" s="111" t="s">
        <v>1530</v>
      </c>
      <c r="E506" s="111" t="s">
        <v>347</v>
      </c>
      <c r="F506" s="111" t="s">
        <v>257</v>
      </c>
      <c r="G506" s="111"/>
      <c r="H506" s="172">
        <v>704</v>
      </c>
      <c r="I506" s="172">
        <f t="shared" si="21"/>
        <v>774.40000000000009</v>
      </c>
      <c r="J506" s="111"/>
      <c r="L506" s="41">
        <f>VLOOKUP(E506,[3]단가!B$4:M$724,12,0)</f>
        <v>704</v>
      </c>
      <c r="M506" s="118">
        <f t="shared" si="22"/>
        <v>0</v>
      </c>
      <c r="N506" s="481">
        <f t="shared" si="23"/>
        <v>0</v>
      </c>
    </row>
    <row r="507" spans="1:14">
      <c r="A507" s="111">
        <v>504</v>
      </c>
      <c r="B507" s="111" t="s">
        <v>257</v>
      </c>
      <c r="C507" s="111" t="s">
        <v>257</v>
      </c>
      <c r="D507" s="111" t="s">
        <v>1530</v>
      </c>
      <c r="E507" s="111" t="s">
        <v>583</v>
      </c>
      <c r="F507" s="111" t="s">
        <v>257</v>
      </c>
      <c r="G507" s="111"/>
      <c r="H507" s="172">
        <v>432</v>
      </c>
      <c r="I507" s="172">
        <f t="shared" si="21"/>
        <v>475.20000000000005</v>
      </c>
      <c r="J507" s="111"/>
      <c r="L507" s="41">
        <f>VLOOKUP(E507,[3]단가!B$4:M$724,12,0)</f>
        <v>432</v>
      </c>
      <c r="M507" s="118">
        <f t="shared" si="22"/>
        <v>0</v>
      </c>
      <c r="N507" s="481">
        <f t="shared" si="23"/>
        <v>0</v>
      </c>
    </row>
    <row r="508" spans="1:14">
      <c r="A508" s="111">
        <v>505</v>
      </c>
      <c r="B508" s="111" t="s">
        <v>257</v>
      </c>
      <c r="C508" s="111" t="s">
        <v>257</v>
      </c>
      <c r="D508" s="111" t="s">
        <v>1530</v>
      </c>
      <c r="E508" s="111" t="s">
        <v>329</v>
      </c>
      <c r="F508" s="111" t="s">
        <v>333</v>
      </c>
      <c r="G508" s="111"/>
      <c r="H508" s="172">
        <v>503</v>
      </c>
      <c r="I508" s="172">
        <f t="shared" si="21"/>
        <v>553.30000000000007</v>
      </c>
      <c r="J508" s="111"/>
      <c r="L508" s="41">
        <f>VLOOKUP(E508,[3]단가!B$4:M$724,12,0)</f>
        <v>503</v>
      </c>
      <c r="M508" s="118">
        <f t="shared" si="22"/>
        <v>0</v>
      </c>
      <c r="N508" s="481">
        <f t="shared" si="23"/>
        <v>0</v>
      </c>
    </row>
    <row r="509" spans="1:14">
      <c r="A509" s="111">
        <v>506</v>
      </c>
      <c r="B509" s="111" t="s">
        <v>257</v>
      </c>
      <c r="C509" s="111" t="s">
        <v>257</v>
      </c>
      <c r="D509" s="111" t="s">
        <v>1530</v>
      </c>
      <c r="E509" s="111" t="s">
        <v>1543</v>
      </c>
      <c r="F509" s="111" t="s">
        <v>257</v>
      </c>
      <c r="G509" s="111"/>
      <c r="H509" s="172">
        <v>344</v>
      </c>
      <c r="I509" s="172">
        <f t="shared" si="21"/>
        <v>378.40000000000003</v>
      </c>
      <c r="J509" s="111"/>
      <c r="L509" s="41">
        <f>VLOOKUP(E509,[3]단가!B$4:M$724,12,0)</f>
        <v>344</v>
      </c>
      <c r="M509" s="118">
        <f t="shared" si="22"/>
        <v>0</v>
      </c>
      <c r="N509" s="481">
        <f t="shared" si="23"/>
        <v>0</v>
      </c>
    </row>
    <row r="510" spans="1:14">
      <c r="A510" s="111">
        <v>507</v>
      </c>
      <c r="B510" s="111" t="s">
        <v>257</v>
      </c>
      <c r="C510" s="111" t="s">
        <v>257</v>
      </c>
      <c r="D510" s="111" t="s">
        <v>1530</v>
      </c>
      <c r="E510" s="111" t="s">
        <v>687</v>
      </c>
      <c r="F510" s="111" t="s">
        <v>257</v>
      </c>
      <c r="G510" s="111"/>
      <c r="H510" s="172">
        <v>812</v>
      </c>
      <c r="I510" s="172">
        <f t="shared" si="21"/>
        <v>893.2</v>
      </c>
      <c r="J510" s="111"/>
      <c r="L510" s="41">
        <f>VLOOKUP(E510,[3]단가!B$4:M$724,12,0)</f>
        <v>812</v>
      </c>
      <c r="M510" s="118">
        <f t="shared" si="22"/>
        <v>0</v>
      </c>
      <c r="N510" s="481">
        <f t="shared" si="23"/>
        <v>0</v>
      </c>
    </row>
    <row r="511" spans="1:14">
      <c r="A511" s="111">
        <v>508</v>
      </c>
      <c r="B511" s="111" t="s">
        <v>257</v>
      </c>
      <c r="C511" s="111" t="s">
        <v>270</v>
      </c>
      <c r="D511" s="111" t="s">
        <v>1530</v>
      </c>
      <c r="E511" s="111" t="s">
        <v>269</v>
      </c>
      <c r="F511" s="111" t="s">
        <v>270</v>
      </c>
      <c r="G511" s="111"/>
      <c r="H511" s="172">
        <v>2781</v>
      </c>
      <c r="I511" s="172">
        <f t="shared" si="21"/>
        <v>3059.1000000000004</v>
      </c>
      <c r="J511" s="111"/>
      <c r="L511" s="41">
        <f>VLOOKUP(E511,[3]단가!B$4:M$724,12,0)</f>
        <v>2781</v>
      </c>
      <c r="M511" s="118">
        <f t="shared" si="22"/>
        <v>0</v>
      </c>
      <c r="N511" s="481">
        <f t="shared" si="23"/>
        <v>0</v>
      </c>
    </row>
    <row r="512" spans="1:14">
      <c r="A512" s="111">
        <v>509</v>
      </c>
      <c r="B512" s="111" t="s">
        <v>257</v>
      </c>
      <c r="C512" s="111" t="s">
        <v>270</v>
      </c>
      <c r="D512" s="111" t="s">
        <v>1530</v>
      </c>
      <c r="E512" s="111" t="s">
        <v>1544</v>
      </c>
      <c r="F512" s="111" t="s">
        <v>270</v>
      </c>
      <c r="G512" s="111"/>
      <c r="H512" s="172">
        <v>16240</v>
      </c>
      <c r="I512" s="172">
        <f t="shared" si="21"/>
        <v>17864</v>
      </c>
      <c r="J512" s="111"/>
      <c r="L512" s="41">
        <f>VLOOKUP(E512,[3]단가!B$4:M$724,12,0)</f>
        <v>16240</v>
      </c>
      <c r="M512" s="118">
        <f t="shared" si="22"/>
        <v>0</v>
      </c>
      <c r="N512" s="481">
        <f t="shared" si="23"/>
        <v>0</v>
      </c>
    </row>
    <row r="513" spans="1:14">
      <c r="A513" s="111">
        <v>510</v>
      </c>
      <c r="B513" s="111" t="s">
        <v>257</v>
      </c>
      <c r="C513" s="111" t="s">
        <v>270</v>
      </c>
      <c r="D513" s="111" t="s">
        <v>1530</v>
      </c>
      <c r="E513" s="111" t="s">
        <v>1545</v>
      </c>
      <c r="F513" s="111" t="s">
        <v>270</v>
      </c>
      <c r="G513" s="111"/>
      <c r="H513" s="172">
        <v>4618</v>
      </c>
      <c r="I513" s="172">
        <f t="shared" si="21"/>
        <v>5079.8</v>
      </c>
      <c r="J513" s="111"/>
      <c r="L513" s="41">
        <f>VLOOKUP(E513,[3]단가!B$4:M$724,12,0)</f>
        <v>4618</v>
      </c>
      <c r="M513" s="118">
        <f t="shared" si="22"/>
        <v>0</v>
      </c>
      <c r="N513" s="481">
        <f t="shared" si="23"/>
        <v>0</v>
      </c>
    </row>
    <row r="514" spans="1:14">
      <c r="A514" s="111">
        <v>511</v>
      </c>
      <c r="B514" s="111" t="s">
        <v>257</v>
      </c>
      <c r="C514" s="111" t="s">
        <v>365</v>
      </c>
      <c r="D514" s="111" t="s">
        <v>1530</v>
      </c>
      <c r="E514" s="111" t="s">
        <v>688</v>
      </c>
      <c r="F514" s="111" t="s">
        <v>365</v>
      </c>
      <c r="G514" s="111"/>
      <c r="H514" s="172">
        <v>492</v>
      </c>
      <c r="I514" s="172">
        <f t="shared" si="21"/>
        <v>541.20000000000005</v>
      </c>
      <c r="J514" s="111"/>
      <c r="L514" s="41">
        <f>VLOOKUP(E514,[3]단가!B$4:M$724,12,0)</f>
        <v>492</v>
      </c>
      <c r="M514" s="118">
        <f t="shared" si="22"/>
        <v>0</v>
      </c>
      <c r="N514" s="481">
        <f t="shared" si="23"/>
        <v>0</v>
      </c>
    </row>
    <row r="515" spans="1:14">
      <c r="A515" s="111">
        <v>512</v>
      </c>
      <c r="B515" s="111" t="s">
        <v>257</v>
      </c>
      <c r="C515" s="111" t="s">
        <v>1546</v>
      </c>
      <c r="D515" s="111" t="s">
        <v>1530</v>
      </c>
      <c r="E515" s="111" t="s">
        <v>1547</v>
      </c>
      <c r="F515" s="111"/>
      <c r="G515" s="111"/>
      <c r="H515" s="172">
        <v>13161</v>
      </c>
      <c r="I515" s="172">
        <f t="shared" si="21"/>
        <v>14477.1</v>
      </c>
      <c r="J515" s="111"/>
      <c r="L515" s="41">
        <f>VLOOKUP(E515,[3]단가!B$4:M$724,12,0)</f>
        <v>13161</v>
      </c>
      <c r="M515" s="118">
        <f t="shared" si="22"/>
        <v>0</v>
      </c>
      <c r="N515" s="481">
        <f t="shared" si="23"/>
        <v>0</v>
      </c>
    </row>
    <row r="516" spans="1:14">
      <c r="A516" s="111">
        <v>513</v>
      </c>
      <c r="B516" s="111" t="s">
        <v>371</v>
      </c>
      <c r="C516" s="111" t="s">
        <v>1546</v>
      </c>
      <c r="D516" s="111" t="s">
        <v>1530</v>
      </c>
      <c r="E516" s="111" t="s">
        <v>471</v>
      </c>
      <c r="F516" s="111"/>
      <c r="G516" s="111"/>
      <c r="H516" s="172">
        <v>19843</v>
      </c>
      <c r="I516" s="172">
        <f t="shared" si="21"/>
        <v>21827.300000000003</v>
      </c>
      <c r="J516" s="111"/>
      <c r="L516" s="41">
        <f>VLOOKUP(E516,[3]단가!B$4:M$724,12,0)</f>
        <v>19843</v>
      </c>
      <c r="M516" s="118">
        <f t="shared" si="22"/>
        <v>0</v>
      </c>
      <c r="N516" s="481">
        <f t="shared" si="23"/>
        <v>0</v>
      </c>
    </row>
    <row r="517" spans="1:14">
      <c r="A517" s="111">
        <v>514</v>
      </c>
      <c r="B517" s="111" t="s">
        <v>257</v>
      </c>
      <c r="C517" s="111" t="s">
        <v>1548</v>
      </c>
      <c r="D517" s="111" t="s">
        <v>1530</v>
      </c>
      <c r="E517" s="111" t="s">
        <v>1549</v>
      </c>
      <c r="F517" s="111" t="s">
        <v>1548</v>
      </c>
      <c r="G517" s="111"/>
      <c r="H517" s="172">
        <v>934</v>
      </c>
      <c r="I517" s="172">
        <f t="shared" ref="I517:I580" si="24">IF(D517="Y",H517*$I$3,H517*$J$3)</f>
        <v>1027.4000000000001</v>
      </c>
      <c r="J517" s="111"/>
      <c r="L517" s="41">
        <f>VLOOKUP(E517,[3]단가!B$4:M$724,12,0)</f>
        <v>934</v>
      </c>
      <c r="M517" s="118">
        <f t="shared" si="22"/>
        <v>0</v>
      </c>
      <c r="N517" s="481">
        <f t="shared" si="23"/>
        <v>0</v>
      </c>
    </row>
    <row r="518" spans="1:14">
      <c r="A518" s="111">
        <v>515</v>
      </c>
      <c r="B518" s="111" t="s">
        <v>257</v>
      </c>
      <c r="C518" s="111" t="s">
        <v>1548</v>
      </c>
      <c r="D518" s="111" t="s">
        <v>1530</v>
      </c>
      <c r="E518" s="111" t="s">
        <v>1550</v>
      </c>
      <c r="F518" s="111" t="s">
        <v>1548</v>
      </c>
      <c r="G518" s="111"/>
      <c r="H518" s="172">
        <v>1428</v>
      </c>
      <c r="I518" s="172">
        <f t="shared" si="24"/>
        <v>1570.8000000000002</v>
      </c>
      <c r="J518" s="111"/>
      <c r="L518" s="41">
        <f>VLOOKUP(E518,[3]단가!B$4:M$724,12,0)</f>
        <v>1428</v>
      </c>
      <c r="M518" s="118">
        <f t="shared" ref="M518:M581" si="25">L518-H518</f>
        <v>0</v>
      </c>
      <c r="N518" s="481">
        <f t="shared" ref="N518:N581" si="26">M518/H518</f>
        <v>0</v>
      </c>
    </row>
    <row r="519" spans="1:14">
      <c r="A519" s="111">
        <v>516</v>
      </c>
      <c r="B519" s="111" t="s">
        <v>257</v>
      </c>
      <c r="C519" s="111" t="s">
        <v>1551</v>
      </c>
      <c r="D519" s="111" t="s">
        <v>747</v>
      </c>
      <c r="E519" s="111" t="s">
        <v>1552</v>
      </c>
      <c r="F519" s="111" t="s">
        <v>1551</v>
      </c>
      <c r="G519" s="111"/>
      <c r="H519" s="172">
        <v>18270</v>
      </c>
      <c r="I519" s="172">
        <f t="shared" si="24"/>
        <v>18270</v>
      </c>
      <c r="J519" s="111"/>
      <c r="L519" s="41">
        <f>VLOOKUP(E519,[3]단가!B$4:M$724,12,0)</f>
        <v>18270</v>
      </c>
      <c r="M519" s="118">
        <f t="shared" si="25"/>
        <v>0</v>
      </c>
      <c r="N519" s="481">
        <f t="shared" si="26"/>
        <v>0</v>
      </c>
    </row>
    <row r="520" spans="1:14">
      <c r="A520" s="111">
        <v>517</v>
      </c>
      <c r="B520" s="111" t="s">
        <v>257</v>
      </c>
      <c r="C520" s="111" t="s">
        <v>1553</v>
      </c>
      <c r="D520" s="111" t="s">
        <v>1530</v>
      </c>
      <c r="E520" s="111" t="s">
        <v>1554</v>
      </c>
      <c r="F520" s="111" t="s">
        <v>1553</v>
      </c>
      <c r="G520" s="111"/>
      <c r="H520" s="172">
        <v>5328</v>
      </c>
      <c r="I520" s="172">
        <f t="shared" si="24"/>
        <v>5860.8</v>
      </c>
      <c r="J520" s="111"/>
      <c r="L520" s="41">
        <f>VLOOKUP(E520,[3]단가!B$4:M$724,12,0)</f>
        <v>5328</v>
      </c>
      <c r="M520" s="118">
        <f t="shared" si="25"/>
        <v>0</v>
      </c>
      <c r="N520" s="481">
        <f t="shared" si="26"/>
        <v>0</v>
      </c>
    </row>
    <row r="521" spans="1:14">
      <c r="A521" s="111">
        <v>518</v>
      </c>
      <c r="B521" s="111" t="s">
        <v>257</v>
      </c>
      <c r="C521" s="111" t="s">
        <v>1553</v>
      </c>
      <c r="D521" s="111" t="s">
        <v>1530</v>
      </c>
      <c r="E521" s="111" t="s">
        <v>1555</v>
      </c>
      <c r="F521" s="111" t="s">
        <v>1553</v>
      </c>
      <c r="G521" s="111"/>
      <c r="H521" s="172">
        <v>3170</v>
      </c>
      <c r="I521" s="172">
        <f t="shared" si="24"/>
        <v>3487.0000000000005</v>
      </c>
      <c r="J521" s="111"/>
      <c r="L521" s="41">
        <f>VLOOKUP(E521,[3]단가!B$4:M$724,12,0)</f>
        <v>3170</v>
      </c>
      <c r="M521" s="118">
        <f t="shared" si="25"/>
        <v>0</v>
      </c>
      <c r="N521" s="481">
        <f t="shared" si="26"/>
        <v>0</v>
      </c>
    </row>
    <row r="522" spans="1:14">
      <c r="A522" s="111">
        <v>519</v>
      </c>
      <c r="B522" s="111" t="s">
        <v>257</v>
      </c>
      <c r="C522" s="111" t="s">
        <v>1553</v>
      </c>
      <c r="D522" s="111" t="s">
        <v>1530</v>
      </c>
      <c r="E522" s="111" t="s">
        <v>1556</v>
      </c>
      <c r="F522" s="111" t="s">
        <v>1553</v>
      </c>
      <c r="G522" s="111"/>
      <c r="H522" s="172">
        <v>1867</v>
      </c>
      <c r="I522" s="172">
        <f t="shared" si="24"/>
        <v>2053.7000000000003</v>
      </c>
      <c r="J522" s="111"/>
      <c r="L522" s="41">
        <f>VLOOKUP(E522,[3]단가!B$4:M$724,12,0)</f>
        <v>1867</v>
      </c>
      <c r="M522" s="118">
        <f t="shared" si="25"/>
        <v>0</v>
      </c>
      <c r="N522" s="481">
        <f t="shared" si="26"/>
        <v>0</v>
      </c>
    </row>
    <row r="523" spans="1:14">
      <c r="A523" s="111">
        <v>520</v>
      </c>
      <c r="B523" s="111" t="s">
        <v>257</v>
      </c>
      <c r="C523" s="111" t="s">
        <v>1553</v>
      </c>
      <c r="D523" s="111" t="s">
        <v>1530</v>
      </c>
      <c r="E523" s="111" t="s">
        <v>1557</v>
      </c>
      <c r="F523" s="111" t="s">
        <v>1553</v>
      </c>
      <c r="G523" s="111"/>
      <c r="H523" s="172">
        <v>10657</v>
      </c>
      <c r="I523" s="172">
        <f t="shared" si="24"/>
        <v>11722.7</v>
      </c>
      <c r="J523" s="111"/>
      <c r="L523" s="41">
        <f>VLOOKUP(E523,[3]단가!B$4:M$724,12,0)</f>
        <v>10657</v>
      </c>
      <c r="M523" s="118">
        <f t="shared" si="25"/>
        <v>0</v>
      </c>
      <c r="N523" s="481">
        <f t="shared" si="26"/>
        <v>0</v>
      </c>
    </row>
    <row r="524" spans="1:14">
      <c r="A524" s="111">
        <v>521</v>
      </c>
      <c r="B524" s="111" t="s">
        <v>257</v>
      </c>
      <c r="C524" s="111" t="s">
        <v>1553</v>
      </c>
      <c r="D524" s="111" t="s">
        <v>1530</v>
      </c>
      <c r="E524" s="111" t="s">
        <v>1558</v>
      </c>
      <c r="F524" s="111" t="s">
        <v>1553</v>
      </c>
      <c r="G524" s="111"/>
      <c r="H524" s="172">
        <v>6044</v>
      </c>
      <c r="I524" s="172">
        <f t="shared" si="24"/>
        <v>6648.4000000000005</v>
      </c>
      <c r="J524" s="111"/>
      <c r="L524" s="41">
        <f>VLOOKUP(E524,[3]단가!B$4:M$724,12,0)</f>
        <v>6044</v>
      </c>
      <c r="M524" s="118">
        <f t="shared" si="25"/>
        <v>0</v>
      </c>
      <c r="N524" s="481">
        <f t="shared" si="26"/>
        <v>0</v>
      </c>
    </row>
    <row r="525" spans="1:14">
      <c r="A525" s="111">
        <v>522</v>
      </c>
      <c r="B525" s="111" t="s">
        <v>257</v>
      </c>
      <c r="C525" s="111" t="s">
        <v>1553</v>
      </c>
      <c r="D525" s="111" t="s">
        <v>1530</v>
      </c>
      <c r="E525" s="111" t="s">
        <v>1559</v>
      </c>
      <c r="F525" s="111" t="s">
        <v>1553</v>
      </c>
      <c r="G525" s="111"/>
      <c r="H525" s="172">
        <v>46984</v>
      </c>
      <c r="I525" s="172">
        <f t="shared" si="24"/>
        <v>51682.400000000001</v>
      </c>
      <c r="J525" s="111"/>
      <c r="L525" s="41">
        <f>VLOOKUP(E525,[3]단가!B$4:M$724,12,0)</f>
        <v>46984</v>
      </c>
      <c r="M525" s="118">
        <f t="shared" si="25"/>
        <v>0</v>
      </c>
      <c r="N525" s="481">
        <f t="shared" si="26"/>
        <v>0</v>
      </c>
    </row>
    <row r="526" spans="1:14">
      <c r="A526" s="111">
        <v>523</v>
      </c>
      <c r="B526" s="111" t="s">
        <v>257</v>
      </c>
      <c r="C526" s="111" t="s">
        <v>1553</v>
      </c>
      <c r="D526" s="111" t="s">
        <v>1530</v>
      </c>
      <c r="E526" s="111" t="s">
        <v>1560</v>
      </c>
      <c r="F526" s="111" t="s">
        <v>1553</v>
      </c>
      <c r="G526" s="111"/>
      <c r="H526" s="172">
        <v>42857</v>
      </c>
      <c r="I526" s="172">
        <f t="shared" si="24"/>
        <v>47142.700000000004</v>
      </c>
      <c r="J526" s="111"/>
      <c r="L526" s="41">
        <f>VLOOKUP(E526,[3]단가!B$4:M$724,12,0)</f>
        <v>42857</v>
      </c>
      <c r="M526" s="118">
        <f t="shared" si="25"/>
        <v>0</v>
      </c>
      <c r="N526" s="481">
        <f t="shared" si="26"/>
        <v>0</v>
      </c>
    </row>
    <row r="527" spans="1:14">
      <c r="A527" s="111">
        <v>524</v>
      </c>
      <c r="B527" s="111" t="s">
        <v>257</v>
      </c>
      <c r="C527" s="111" t="s">
        <v>1553</v>
      </c>
      <c r="D527" s="111" t="s">
        <v>1530</v>
      </c>
      <c r="E527" s="111" t="s">
        <v>1561</v>
      </c>
      <c r="F527" s="111" t="s">
        <v>1553</v>
      </c>
      <c r="G527" s="111"/>
      <c r="H527" s="172">
        <v>129299</v>
      </c>
      <c r="I527" s="172">
        <f t="shared" si="24"/>
        <v>142228.90000000002</v>
      </c>
      <c r="J527" s="111"/>
      <c r="L527" s="41">
        <f>VLOOKUP(E527,[3]단가!B$4:M$724,12,0)</f>
        <v>129299</v>
      </c>
      <c r="M527" s="118">
        <f t="shared" si="25"/>
        <v>0</v>
      </c>
      <c r="N527" s="481">
        <f t="shared" si="26"/>
        <v>0</v>
      </c>
    </row>
    <row r="528" spans="1:14">
      <c r="A528" s="111">
        <v>525</v>
      </c>
      <c r="B528" s="111" t="s">
        <v>257</v>
      </c>
      <c r="C528" s="111" t="s">
        <v>1553</v>
      </c>
      <c r="D528" s="111" t="s">
        <v>1530</v>
      </c>
      <c r="E528" s="111" t="s">
        <v>1562</v>
      </c>
      <c r="F528" s="111" t="s">
        <v>1553</v>
      </c>
      <c r="G528" s="111"/>
      <c r="H528" s="172">
        <v>87147</v>
      </c>
      <c r="I528" s="172">
        <f t="shared" si="24"/>
        <v>95861.700000000012</v>
      </c>
      <c r="J528" s="111"/>
      <c r="L528" s="41">
        <f>VLOOKUP(E528,[3]단가!B$4:M$724,12,0)</f>
        <v>87147</v>
      </c>
      <c r="M528" s="118">
        <f t="shared" si="25"/>
        <v>0</v>
      </c>
      <c r="N528" s="481">
        <f t="shared" si="26"/>
        <v>0</v>
      </c>
    </row>
    <row r="529" spans="1:14">
      <c r="A529" s="111">
        <v>526</v>
      </c>
      <c r="B529" s="111" t="s">
        <v>257</v>
      </c>
      <c r="C529" s="111" t="s">
        <v>1553</v>
      </c>
      <c r="D529" s="111" t="s">
        <v>1530</v>
      </c>
      <c r="E529" s="111" t="s">
        <v>1563</v>
      </c>
      <c r="F529" s="111" t="s">
        <v>1553</v>
      </c>
      <c r="G529" s="111"/>
      <c r="H529" s="172">
        <v>80783</v>
      </c>
      <c r="I529" s="172">
        <f t="shared" si="24"/>
        <v>88861.3</v>
      </c>
      <c r="J529" s="111"/>
      <c r="L529" s="41">
        <f>VLOOKUP(E529,[3]단가!B$4:M$724,12,0)</f>
        <v>80783</v>
      </c>
      <c r="M529" s="118">
        <f t="shared" si="25"/>
        <v>0</v>
      </c>
      <c r="N529" s="481">
        <f t="shared" si="26"/>
        <v>0</v>
      </c>
    </row>
    <row r="530" spans="1:14">
      <c r="A530" s="111">
        <v>527</v>
      </c>
      <c r="B530" s="111" t="s">
        <v>257</v>
      </c>
      <c r="C530" s="111" t="s">
        <v>1553</v>
      </c>
      <c r="D530" s="111" t="s">
        <v>1530</v>
      </c>
      <c r="E530" s="111" t="s">
        <v>1564</v>
      </c>
      <c r="F530" s="111" t="s">
        <v>1553</v>
      </c>
      <c r="G530" s="111"/>
      <c r="H530" s="172">
        <v>156447</v>
      </c>
      <c r="I530" s="172">
        <f t="shared" si="24"/>
        <v>172091.7</v>
      </c>
      <c r="J530" s="111"/>
      <c r="L530" s="41">
        <f>VLOOKUP(E530,[3]단가!B$4:M$724,12,0)</f>
        <v>156447</v>
      </c>
      <c r="M530" s="118">
        <f t="shared" si="25"/>
        <v>0</v>
      </c>
      <c r="N530" s="481">
        <f t="shared" si="26"/>
        <v>0</v>
      </c>
    </row>
    <row r="531" spans="1:14">
      <c r="A531" s="111">
        <v>528</v>
      </c>
      <c r="B531" s="111" t="s">
        <v>257</v>
      </c>
      <c r="C531" s="111" t="s">
        <v>1565</v>
      </c>
      <c r="D531" s="111" t="s">
        <v>1530</v>
      </c>
      <c r="E531" s="111" t="s">
        <v>1566</v>
      </c>
      <c r="F531" s="111" t="s">
        <v>1565</v>
      </c>
      <c r="G531" s="111"/>
      <c r="H531" s="172">
        <v>6324</v>
      </c>
      <c r="I531" s="172">
        <f t="shared" si="24"/>
        <v>6956.4000000000005</v>
      </c>
      <c r="J531" s="111"/>
      <c r="L531" s="41">
        <f>VLOOKUP(E531,[3]단가!B$4:M$724,12,0)</f>
        <v>6324</v>
      </c>
      <c r="M531" s="118">
        <f t="shared" si="25"/>
        <v>0</v>
      </c>
      <c r="N531" s="481">
        <f t="shared" si="26"/>
        <v>0</v>
      </c>
    </row>
    <row r="532" spans="1:14">
      <c r="A532" s="111">
        <v>529</v>
      </c>
      <c r="B532" s="111" t="s">
        <v>257</v>
      </c>
      <c r="C532" s="111" t="s">
        <v>567</v>
      </c>
      <c r="D532" s="111" t="s">
        <v>1530</v>
      </c>
      <c r="E532" s="111" t="s">
        <v>566</v>
      </c>
      <c r="F532" s="111" t="s">
        <v>567</v>
      </c>
      <c r="G532" s="111"/>
      <c r="H532" s="172">
        <v>610</v>
      </c>
      <c r="I532" s="172">
        <f t="shared" si="24"/>
        <v>671</v>
      </c>
      <c r="J532" s="111"/>
      <c r="L532" s="41">
        <f>VLOOKUP(E532,[3]단가!B$4:M$724,12,0)</f>
        <v>610</v>
      </c>
      <c r="M532" s="118">
        <f t="shared" si="25"/>
        <v>0</v>
      </c>
      <c r="N532" s="481">
        <f t="shared" si="26"/>
        <v>0</v>
      </c>
    </row>
    <row r="533" spans="1:14">
      <c r="A533" s="111">
        <v>530</v>
      </c>
      <c r="B533" s="111" t="s">
        <v>257</v>
      </c>
      <c r="C533" s="111" t="s">
        <v>1567</v>
      </c>
      <c r="D533" s="111" t="s">
        <v>1530</v>
      </c>
      <c r="E533" s="111" t="s">
        <v>1568</v>
      </c>
      <c r="F533" s="111"/>
      <c r="G533" s="111"/>
      <c r="H533" s="172">
        <v>38257</v>
      </c>
      <c r="I533" s="172">
        <f t="shared" si="24"/>
        <v>42082.700000000004</v>
      </c>
      <c r="J533" s="111"/>
      <c r="L533" s="41">
        <f>VLOOKUP(E533,[3]단가!B$4:M$724,12,0)</f>
        <v>38257</v>
      </c>
      <c r="M533" s="118">
        <f t="shared" si="25"/>
        <v>0</v>
      </c>
      <c r="N533" s="481">
        <f t="shared" si="26"/>
        <v>0</v>
      </c>
    </row>
    <row r="534" spans="1:14">
      <c r="A534" s="111">
        <v>531</v>
      </c>
      <c r="B534" s="111" t="s">
        <v>257</v>
      </c>
      <c r="C534" s="111" t="s">
        <v>1567</v>
      </c>
      <c r="D534" s="111" t="s">
        <v>1530</v>
      </c>
      <c r="E534" s="111" t="s">
        <v>1569</v>
      </c>
      <c r="F534" s="111"/>
      <c r="G534" s="111"/>
      <c r="H534" s="172">
        <v>44399</v>
      </c>
      <c r="I534" s="172">
        <f t="shared" si="24"/>
        <v>48838.9</v>
      </c>
      <c r="J534" s="111"/>
      <c r="L534" s="41">
        <f>VLOOKUP(E534,[3]단가!B$4:M$724,12,0)</f>
        <v>44399</v>
      </c>
      <c r="M534" s="118">
        <f t="shared" si="25"/>
        <v>0</v>
      </c>
      <c r="N534" s="481">
        <f t="shared" si="26"/>
        <v>0</v>
      </c>
    </row>
    <row r="535" spans="1:14">
      <c r="A535" s="111">
        <v>532</v>
      </c>
      <c r="B535" s="111" t="s">
        <v>257</v>
      </c>
      <c r="C535" s="111" t="s">
        <v>1567</v>
      </c>
      <c r="D535" s="111" t="s">
        <v>1530</v>
      </c>
      <c r="E535" s="111" t="s">
        <v>1570</v>
      </c>
      <c r="F535" s="111"/>
      <c r="G535" s="111"/>
      <c r="H535" s="172">
        <v>50551</v>
      </c>
      <c r="I535" s="172">
        <f t="shared" si="24"/>
        <v>55606.100000000006</v>
      </c>
      <c r="J535" s="111"/>
      <c r="L535" s="41">
        <f>VLOOKUP(E535,[3]단가!B$4:M$724,12,0)</f>
        <v>50551</v>
      </c>
      <c r="M535" s="118">
        <f t="shared" si="25"/>
        <v>0</v>
      </c>
      <c r="N535" s="481">
        <f t="shared" si="26"/>
        <v>0</v>
      </c>
    </row>
    <row r="536" spans="1:14">
      <c r="A536" s="111">
        <v>533</v>
      </c>
      <c r="B536" s="111" t="s">
        <v>257</v>
      </c>
      <c r="C536" s="111" t="s">
        <v>1567</v>
      </c>
      <c r="D536" s="111" t="s">
        <v>1530</v>
      </c>
      <c r="E536" s="111" t="s">
        <v>1571</v>
      </c>
      <c r="F536" s="111"/>
      <c r="G536" s="111"/>
      <c r="H536" s="172">
        <v>64165</v>
      </c>
      <c r="I536" s="172">
        <f t="shared" si="24"/>
        <v>70581.5</v>
      </c>
      <c r="J536" s="111"/>
      <c r="L536" s="41">
        <f>VLOOKUP(E536,[3]단가!B$4:M$724,12,0)</f>
        <v>64165</v>
      </c>
      <c r="M536" s="118">
        <f t="shared" si="25"/>
        <v>0</v>
      </c>
      <c r="N536" s="481">
        <f t="shared" si="26"/>
        <v>0</v>
      </c>
    </row>
    <row r="537" spans="1:14">
      <c r="A537" s="111">
        <v>534</v>
      </c>
      <c r="B537" s="111" t="s">
        <v>257</v>
      </c>
      <c r="C537" s="111" t="s">
        <v>1567</v>
      </c>
      <c r="D537" s="111" t="s">
        <v>1530</v>
      </c>
      <c r="E537" s="111" t="s">
        <v>1572</v>
      </c>
      <c r="F537" s="111"/>
      <c r="G537" s="111"/>
      <c r="H537" s="172">
        <v>69781</v>
      </c>
      <c r="I537" s="172">
        <f t="shared" si="24"/>
        <v>76759.100000000006</v>
      </c>
      <c r="J537" s="111"/>
      <c r="L537" s="41">
        <f>VLOOKUP(E537,[3]단가!B$4:M$724,12,0)</f>
        <v>69781</v>
      </c>
      <c r="M537" s="118">
        <f t="shared" si="25"/>
        <v>0</v>
      </c>
      <c r="N537" s="481">
        <f t="shared" si="26"/>
        <v>0</v>
      </c>
    </row>
    <row r="538" spans="1:14">
      <c r="A538" s="111">
        <v>535</v>
      </c>
      <c r="B538" s="111" t="s">
        <v>257</v>
      </c>
      <c r="C538" s="111" t="s">
        <v>1567</v>
      </c>
      <c r="D538" s="111" t="s">
        <v>1530</v>
      </c>
      <c r="E538" s="111" t="s">
        <v>1573</v>
      </c>
      <c r="F538" s="111"/>
      <c r="G538" s="111"/>
      <c r="H538" s="172">
        <v>75924</v>
      </c>
      <c r="I538" s="172">
        <f t="shared" si="24"/>
        <v>83516.400000000009</v>
      </c>
      <c r="J538" s="111"/>
      <c r="L538" s="41">
        <f>VLOOKUP(E538,[3]단가!B$4:M$724,12,0)</f>
        <v>75924</v>
      </c>
      <c r="M538" s="118">
        <f t="shared" si="25"/>
        <v>0</v>
      </c>
      <c r="N538" s="481">
        <f t="shared" si="26"/>
        <v>0</v>
      </c>
    </row>
    <row r="539" spans="1:14">
      <c r="A539" s="111">
        <v>536</v>
      </c>
      <c r="B539" s="111" t="s">
        <v>257</v>
      </c>
      <c r="C539" s="111" t="s">
        <v>1567</v>
      </c>
      <c r="D539" s="111" t="s">
        <v>1530</v>
      </c>
      <c r="E539" s="111" t="s">
        <v>1574</v>
      </c>
      <c r="F539" s="111"/>
      <c r="G539" s="111"/>
      <c r="H539" s="172">
        <v>82074</v>
      </c>
      <c r="I539" s="172">
        <f t="shared" si="24"/>
        <v>90281.400000000009</v>
      </c>
      <c r="J539" s="111"/>
      <c r="L539" s="41">
        <f>VLOOKUP(E539,[3]단가!B$4:M$724,12,0)</f>
        <v>82074</v>
      </c>
      <c r="M539" s="118">
        <f t="shared" si="25"/>
        <v>0</v>
      </c>
      <c r="N539" s="481">
        <f t="shared" si="26"/>
        <v>0</v>
      </c>
    </row>
    <row r="540" spans="1:14">
      <c r="A540" s="111">
        <v>537</v>
      </c>
      <c r="B540" s="111" t="s">
        <v>257</v>
      </c>
      <c r="C540" s="111" t="s">
        <v>1567</v>
      </c>
      <c r="D540" s="111" t="s">
        <v>1530</v>
      </c>
      <c r="E540" s="111" t="s">
        <v>1575</v>
      </c>
      <c r="F540" s="111"/>
      <c r="G540" s="111"/>
      <c r="H540" s="172">
        <v>88217</v>
      </c>
      <c r="I540" s="172">
        <f t="shared" si="24"/>
        <v>97038.700000000012</v>
      </c>
      <c r="J540" s="111"/>
      <c r="L540" s="41">
        <f>VLOOKUP(E540,[3]단가!B$4:M$724,12,0)</f>
        <v>88217</v>
      </c>
      <c r="M540" s="118">
        <f t="shared" si="25"/>
        <v>0</v>
      </c>
      <c r="N540" s="481">
        <f t="shared" si="26"/>
        <v>0</v>
      </c>
    </row>
    <row r="541" spans="1:14">
      <c r="A541" s="111">
        <v>538</v>
      </c>
      <c r="B541" s="111" t="s">
        <v>257</v>
      </c>
      <c r="C541" s="111" t="s">
        <v>1567</v>
      </c>
      <c r="D541" s="111" t="s">
        <v>1530</v>
      </c>
      <c r="E541" s="111" t="s">
        <v>1576</v>
      </c>
      <c r="F541" s="111"/>
      <c r="G541" s="111"/>
      <c r="H541" s="172">
        <v>96225</v>
      </c>
      <c r="I541" s="172">
        <f t="shared" si="24"/>
        <v>105847.50000000001</v>
      </c>
      <c r="J541" s="111"/>
      <c r="L541" s="41">
        <f>VLOOKUP(E541,[3]단가!B$4:M$724,12,0)</f>
        <v>96225</v>
      </c>
      <c r="M541" s="118">
        <f t="shared" si="25"/>
        <v>0</v>
      </c>
      <c r="N541" s="481">
        <f t="shared" si="26"/>
        <v>0</v>
      </c>
    </row>
    <row r="542" spans="1:14">
      <c r="A542" s="111">
        <v>539</v>
      </c>
      <c r="B542" s="111" t="s">
        <v>257</v>
      </c>
      <c r="C542" s="111" t="s">
        <v>1567</v>
      </c>
      <c r="D542" s="111" t="s">
        <v>1530</v>
      </c>
      <c r="E542" s="111" t="s">
        <v>1577</v>
      </c>
      <c r="F542" s="111"/>
      <c r="G542" s="111"/>
      <c r="H542" s="172">
        <v>101305</v>
      </c>
      <c r="I542" s="172">
        <f t="shared" si="24"/>
        <v>111435.50000000001</v>
      </c>
      <c r="J542" s="111"/>
      <c r="L542" s="41">
        <f>VLOOKUP(E542,[3]단가!B$4:M$724,12,0)</f>
        <v>101305</v>
      </c>
      <c r="M542" s="118">
        <f t="shared" si="25"/>
        <v>0</v>
      </c>
      <c r="N542" s="481">
        <f t="shared" si="26"/>
        <v>0</v>
      </c>
    </row>
    <row r="543" spans="1:14">
      <c r="A543" s="111">
        <v>540</v>
      </c>
      <c r="B543" s="111" t="s">
        <v>257</v>
      </c>
      <c r="C543" s="111" t="s">
        <v>1567</v>
      </c>
      <c r="D543" s="111" t="s">
        <v>1530</v>
      </c>
      <c r="E543" s="111" t="s">
        <v>1578</v>
      </c>
      <c r="F543" s="111"/>
      <c r="G543" s="111"/>
      <c r="H543" s="172">
        <v>107447</v>
      </c>
      <c r="I543" s="172">
        <f t="shared" si="24"/>
        <v>118191.70000000001</v>
      </c>
      <c r="J543" s="111"/>
      <c r="L543" s="41">
        <f>VLOOKUP(E543,[3]단가!B$4:M$724,12,0)</f>
        <v>107447</v>
      </c>
      <c r="M543" s="118">
        <f t="shared" si="25"/>
        <v>0</v>
      </c>
      <c r="N543" s="481">
        <f t="shared" si="26"/>
        <v>0</v>
      </c>
    </row>
    <row r="544" spans="1:14">
      <c r="A544" s="111">
        <v>541</v>
      </c>
      <c r="B544" s="111" t="s">
        <v>257</v>
      </c>
      <c r="C544" s="111" t="s">
        <v>1567</v>
      </c>
      <c r="D544" s="111" t="s">
        <v>1530</v>
      </c>
      <c r="E544" s="111" t="s">
        <v>1579</v>
      </c>
      <c r="F544" s="111"/>
      <c r="G544" s="111"/>
      <c r="H544" s="172">
        <v>113598</v>
      </c>
      <c r="I544" s="172">
        <f t="shared" si="24"/>
        <v>124957.8</v>
      </c>
      <c r="J544" s="111"/>
      <c r="L544" s="41">
        <f>VLOOKUP(E544,[3]단가!B$4:M$724,12,0)</f>
        <v>113598</v>
      </c>
      <c r="M544" s="118">
        <f t="shared" si="25"/>
        <v>0</v>
      </c>
      <c r="N544" s="481">
        <f t="shared" si="26"/>
        <v>0</v>
      </c>
    </row>
    <row r="545" spans="1:14">
      <c r="A545" s="111">
        <v>542</v>
      </c>
      <c r="B545" s="111" t="s">
        <v>257</v>
      </c>
      <c r="C545" s="111" t="s">
        <v>1567</v>
      </c>
      <c r="D545" s="111" t="s">
        <v>1530</v>
      </c>
      <c r="E545" s="111" t="s">
        <v>1580</v>
      </c>
      <c r="F545" s="111"/>
      <c r="G545" s="111"/>
      <c r="H545" s="172">
        <v>119741</v>
      </c>
      <c r="I545" s="172">
        <f t="shared" si="24"/>
        <v>131715.1</v>
      </c>
      <c r="J545" s="111"/>
      <c r="L545" s="41">
        <f>VLOOKUP(E545,[3]단가!B$4:M$724,12,0)</f>
        <v>119741</v>
      </c>
      <c r="M545" s="118">
        <f t="shared" si="25"/>
        <v>0</v>
      </c>
      <c r="N545" s="481">
        <f t="shared" si="26"/>
        <v>0</v>
      </c>
    </row>
    <row r="546" spans="1:14">
      <c r="A546" s="111">
        <v>543</v>
      </c>
      <c r="B546" s="111" t="s">
        <v>257</v>
      </c>
      <c r="C546" s="111" t="s">
        <v>1567</v>
      </c>
      <c r="D546" s="111" t="s">
        <v>1530</v>
      </c>
      <c r="E546" s="111" t="s">
        <v>1581</v>
      </c>
      <c r="F546" s="111"/>
      <c r="G546" s="111"/>
      <c r="H546" s="172">
        <v>128275</v>
      </c>
      <c r="I546" s="172">
        <f t="shared" si="24"/>
        <v>141102.5</v>
      </c>
      <c r="J546" s="111"/>
      <c r="L546" s="41">
        <f>VLOOKUP(E546,[3]단가!B$4:M$724,12,0)</f>
        <v>128275</v>
      </c>
      <c r="M546" s="118">
        <f t="shared" si="25"/>
        <v>0</v>
      </c>
      <c r="N546" s="481">
        <f t="shared" si="26"/>
        <v>0</v>
      </c>
    </row>
    <row r="547" spans="1:14">
      <c r="A547" s="111">
        <v>544</v>
      </c>
      <c r="B547" s="111" t="s">
        <v>257</v>
      </c>
      <c r="C547" s="111" t="s">
        <v>1567</v>
      </c>
      <c r="D547" s="111" t="s">
        <v>1530</v>
      </c>
      <c r="E547" s="111" t="s">
        <v>1582</v>
      </c>
      <c r="F547" s="111"/>
      <c r="G547" s="111"/>
      <c r="H547" s="172">
        <v>134427</v>
      </c>
      <c r="I547" s="172">
        <f t="shared" si="24"/>
        <v>147869.70000000001</v>
      </c>
      <c r="J547" s="111"/>
      <c r="L547" s="41">
        <f>VLOOKUP(E547,[3]단가!B$4:M$724,12,0)</f>
        <v>134427</v>
      </c>
      <c r="M547" s="118">
        <f t="shared" si="25"/>
        <v>0</v>
      </c>
      <c r="N547" s="481">
        <f t="shared" si="26"/>
        <v>0</v>
      </c>
    </row>
    <row r="548" spans="1:14">
      <c r="A548" s="111">
        <v>545</v>
      </c>
      <c r="B548" s="111" t="s">
        <v>257</v>
      </c>
      <c r="C548" s="111" t="s">
        <v>1567</v>
      </c>
      <c r="D548" s="111" t="s">
        <v>1530</v>
      </c>
      <c r="E548" s="111" t="s">
        <v>1583</v>
      </c>
      <c r="F548" s="111"/>
      <c r="G548" s="111"/>
      <c r="H548" s="172">
        <v>140569</v>
      </c>
      <c r="I548" s="172">
        <f t="shared" si="24"/>
        <v>154625.90000000002</v>
      </c>
      <c r="J548" s="111"/>
      <c r="L548" s="41">
        <f>VLOOKUP(E548,[3]단가!B$4:M$724,12,0)</f>
        <v>140569</v>
      </c>
      <c r="M548" s="118">
        <f t="shared" si="25"/>
        <v>0</v>
      </c>
      <c r="N548" s="481">
        <f t="shared" si="26"/>
        <v>0</v>
      </c>
    </row>
    <row r="549" spans="1:14">
      <c r="A549" s="111">
        <v>546</v>
      </c>
      <c r="B549" s="111" t="s">
        <v>257</v>
      </c>
      <c r="C549" s="111" t="s">
        <v>1567</v>
      </c>
      <c r="D549" s="111" t="s">
        <v>1530</v>
      </c>
      <c r="E549" s="111" t="s">
        <v>1584</v>
      </c>
      <c r="F549" s="111"/>
      <c r="G549" s="111"/>
      <c r="H549" s="172">
        <v>146712</v>
      </c>
      <c r="I549" s="172">
        <f t="shared" si="24"/>
        <v>161383.20000000001</v>
      </c>
      <c r="J549" s="111"/>
      <c r="L549" s="41">
        <f>VLOOKUP(E549,[3]단가!B$4:M$724,12,0)</f>
        <v>146712</v>
      </c>
      <c r="M549" s="118">
        <f t="shared" si="25"/>
        <v>0</v>
      </c>
      <c r="N549" s="481">
        <f t="shared" si="26"/>
        <v>0</v>
      </c>
    </row>
    <row r="550" spans="1:14">
      <c r="A550" s="111">
        <v>547</v>
      </c>
      <c r="B550" s="111" t="s">
        <v>257</v>
      </c>
      <c r="C550" s="111" t="s">
        <v>1567</v>
      </c>
      <c r="D550" s="111" t="s">
        <v>1530</v>
      </c>
      <c r="E550" s="111" t="s">
        <v>1585</v>
      </c>
      <c r="F550" s="111"/>
      <c r="G550" s="111"/>
      <c r="H550" s="172">
        <v>152864</v>
      </c>
      <c r="I550" s="172">
        <f t="shared" si="24"/>
        <v>168150.40000000002</v>
      </c>
      <c r="J550" s="111"/>
      <c r="L550" s="41">
        <f>VLOOKUP(E550,[3]단가!B$4:M$724,12,0)</f>
        <v>152864</v>
      </c>
      <c r="M550" s="118">
        <f t="shared" si="25"/>
        <v>0</v>
      </c>
      <c r="N550" s="481">
        <f t="shared" si="26"/>
        <v>0</v>
      </c>
    </row>
    <row r="551" spans="1:14">
      <c r="A551" s="111">
        <v>548</v>
      </c>
      <c r="B551" s="111" t="s">
        <v>257</v>
      </c>
      <c r="C551" s="111" t="s">
        <v>1567</v>
      </c>
      <c r="D551" s="111" t="s">
        <v>1530</v>
      </c>
      <c r="E551" s="111" t="s">
        <v>1586</v>
      </c>
      <c r="F551" s="111"/>
      <c r="G551" s="111"/>
      <c r="H551" s="172">
        <v>160335</v>
      </c>
      <c r="I551" s="172">
        <f t="shared" si="24"/>
        <v>176368.5</v>
      </c>
      <c r="J551" s="111"/>
      <c r="L551" s="41">
        <f>VLOOKUP(E551,[3]단가!B$4:M$724,12,0)</f>
        <v>160335</v>
      </c>
      <c r="M551" s="118">
        <f t="shared" si="25"/>
        <v>0</v>
      </c>
      <c r="N551" s="481">
        <f t="shared" si="26"/>
        <v>0</v>
      </c>
    </row>
    <row r="552" spans="1:14">
      <c r="A552" s="111">
        <v>549</v>
      </c>
      <c r="B552" s="111" t="s">
        <v>257</v>
      </c>
      <c r="C552" s="111" t="s">
        <v>1567</v>
      </c>
      <c r="D552" s="111" t="s">
        <v>1530</v>
      </c>
      <c r="E552" s="111" t="s">
        <v>1587</v>
      </c>
      <c r="F552" s="111"/>
      <c r="G552" s="111"/>
      <c r="H552" s="172">
        <v>166478</v>
      </c>
      <c r="I552" s="172">
        <f t="shared" si="24"/>
        <v>183125.80000000002</v>
      </c>
      <c r="J552" s="111"/>
      <c r="L552" s="41">
        <f>VLOOKUP(E552,[3]단가!B$4:M$724,12,0)</f>
        <v>166478</v>
      </c>
      <c r="M552" s="118">
        <f t="shared" si="25"/>
        <v>0</v>
      </c>
      <c r="N552" s="481">
        <f t="shared" si="26"/>
        <v>0</v>
      </c>
    </row>
    <row r="553" spans="1:14">
      <c r="A553" s="111">
        <v>550</v>
      </c>
      <c r="B553" s="111" t="s">
        <v>257</v>
      </c>
      <c r="C553" s="111" t="s">
        <v>1567</v>
      </c>
      <c r="D553" s="111" t="s">
        <v>1530</v>
      </c>
      <c r="E553" s="111" t="s">
        <v>1588</v>
      </c>
      <c r="F553" s="111"/>
      <c r="G553" s="111"/>
      <c r="H553" s="172">
        <v>172630</v>
      </c>
      <c r="I553" s="172">
        <f t="shared" si="24"/>
        <v>189893.00000000003</v>
      </c>
      <c r="J553" s="111"/>
      <c r="L553" s="41">
        <f>VLOOKUP(E553,[3]단가!B$4:M$724,12,0)</f>
        <v>172630</v>
      </c>
      <c r="M553" s="118">
        <f t="shared" si="25"/>
        <v>0</v>
      </c>
      <c r="N553" s="481">
        <f t="shared" si="26"/>
        <v>0</v>
      </c>
    </row>
    <row r="554" spans="1:14">
      <c r="A554" s="111">
        <v>551</v>
      </c>
      <c r="B554" s="111" t="s">
        <v>257</v>
      </c>
      <c r="C554" s="111" t="s">
        <v>1567</v>
      </c>
      <c r="D554" s="111" t="s">
        <v>1530</v>
      </c>
      <c r="E554" s="111" t="s">
        <v>1589</v>
      </c>
      <c r="F554" s="111"/>
      <c r="G554" s="111"/>
      <c r="H554" s="172">
        <v>178771</v>
      </c>
      <c r="I554" s="172">
        <f t="shared" si="24"/>
        <v>196648.1</v>
      </c>
      <c r="J554" s="111"/>
      <c r="L554" s="41">
        <f>VLOOKUP(E554,[3]단가!B$4:M$724,12,0)</f>
        <v>178771</v>
      </c>
      <c r="M554" s="118">
        <f t="shared" si="25"/>
        <v>0</v>
      </c>
      <c r="N554" s="481">
        <f t="shared" si="26"/>
        <v>0</v>
      </c>
    </row>
    <row r="555" spans="1:14">
      <c r="A555" s="111">
        <v>552</v>
      </c>
      <c r="B555" s="111" t="s">
        <v>257</v>
      </c>
      <c r="C555" s="111" t="s">
        <v>1567</v>
      </c>
      <c r="D555" s="111" t="s">
        <v>1530</v>
      </c>
      <c r="E555" s="111" t="s">
        <v>1590</v>
      </c>
      <c r="F555" s="111"/>
      <c r="G555" s="111"/>
      <c r="H555" s="172">
        <v>184914</v>
      </c>
      <c r="I555" s="172">
        <f t="shared" si="24"/>
        <v>203405.40000000002</v>
      </c>
      <c r="J555" s="111"/>
      <c r="L555" s="41">
        <f>VLOOKUP(E555,[3]단가!B$4:M$724,12,0)</f>
        <v>184914</v>
      </c>
      <c r="M555" s="118">
        <f t="shared" si="25"/>
        <v>0</v>
      </c>
      <c r="N555" s="481">
        <f t="shared" si="26"/>
        <v>0</v>
      </c>
    </row>
    <row r="556" spans="1:14">
      <c r="A556" s="111">
        <v>553</v>
      </c>
      <c r="B556" s="111" t="s">
        <v>257</v>
      </c>
      <c r="C556" s="111" t="s">
        <v>1567</v>
      </c>
      <c r="D556" s="111" t="s">
        <v>1530</v>
      </c>
      <c r="E556" s="111" t="s">
        <v>1591</v>
      </c>
      <c r="F556" s="111"/>
      <c r="G556" s="111"/>
      <c r="H556" s="172">
        <v>192396</v>
      </c>
      <c r="I556" s="172">
        <f t="shared" si="24"/>
        <v>211635.6</v>
      </c>
      <c r="J556" s="111"/>
      <c r="L556" s="41">
        <f>VLOOKUP(E556,[3]단가!B$4:M$724,12,0)</f>
        <v>192396</v>
      </c>
      <c r="M556" s="118">
        <f t="shared" si="25"/>
        <v>0</v>
      </c>
      <c r="N556" s="481">
        <f t="shared" si="26"/>
        <v>0</v>
      </c>
    </row>
    <row r="557" spans="1:14">
      <c r="A557" s="111">
        <v>554</v>
      </c>
      <c r="B557" s="111" t="s">
        <v>257</v>
      </c>
      <c r="C557" s="111" t="s">
        <v>1567</v>
      </c>
      <c r="D557" s="111" t="s">
        <v>1530</v>
      </c>
      <c r="E557" s="111" t="s">
        <v>1592</v>
      </c>
      <c r="F557" s="111"/>
      <c r="G557" s="111"/>
      <c r="H557" s="172">
        <v>198538</v>
      </c>
      <c r="I557" s="172">
        <f t="shared" si="24"/>
        <v>218391.80000000002</v>
      </c>
      <c r="J557" s="111"/>
      <c r="L557" s="41">
        <f>VLOOKUP(E557,[3]단가!B$4:M$724,12,0)</f>
        <v>198538</v>
      </c>
      <c r="M557" s="118">
        <f t="shared" si="25"/>
        <v>0</v>
      </c>
      <c r="N557" s="481">
        <f t="shared" si="26"/>
        <v>0</v>
      </c>
    </row>
    <row r="558" spans="1:14">
      <c r="A558" s="111">
        <v>555</v>
      </c>
      <c r="B558" s="111" t="s">
        <v>257</v>
      </c>
      <c r="C558" s="111" t="s">
        <v>1567</v>
      </c>
      <c r="D558" s="111" t="s">
        <v>1530</v>
      </c>
      <c r="E558" s="111" t="s">
        <v>1593</v>
      </c>
      <c r="F558" s="111"/>
      <c r="G558" s="111"/>
      <c r="H558" s="172">
        <v>204680</v>
      </c>
      <c r="I558" s="172">
        <f t="shared" si="24"/>
        <v>225148.00000000003</v>
      </c>
      <c r="J558" s="111"/>
      <c r="L558" s="41">
        <f>VLOOKUP(E558,[3]단가!B$4:M$724,12,0)</f>
        <v>204680</v>
      </c>
      <c r="M558" s="118">
        <f t="shared" si="25"/>
        <v>0</v>
      </c>
      <c r="N558" s="481">
        <f t="shared" si="26"/>
        <v>0</v>
      </c>
    </row>
    <row r="559" spans="1:14">
      <c r="A559" s="111">
        <v>556</v>
      </c>
      <c r="B559" s="111" t="s">
        <v>257</v>
      </c>
      <c r="C559" s="111" t="s">
        <v>1567</v>
      </c>
      <c r="D559" s="111" t="s">
        <v>1530</v>
      </c>
      <c r="E559" s="111" t="s">
        <v>1594</v>
      </c>
      <c r="F559" s="111"/>
      <c r="G559" s="111"/>
      <c r="H559" s="172">
        <v>210831</v>
      </c>
      <c r="I559" s="172">
        <f t="shared" si="24"/>
        <v>231914.1</v>
      </c>
      <c r="J559" s="111"/>
      <c r="L559" s="41">
        <f>VLOOKUP(E559,[3]단가!B$4:M$724,12,0)</f>
        <v>210831</v>
      </c>
      <c r="M559" s="118">
        <f t="shared" si="25"/>
        <v>0</v>
      </c>
      <c r="N559" s="481">
        <f t="shared" si="26"/>
        <v>0</v>
      </c>
    </row>
    <row r="560" spans="1:14">
      <c r="A560" s="111">
        <v>557</v>
      </c>
      <c r="B560" s="111" t="s">
        <v>257</v>
      </c>
      <c r="C560" s="111" t="s">
        <v>1567</v>
      </c>
      <c r="D560" s="111" t="s">
        <v>1530</v>
      </c>
      <c r="E560" s="111" t="s">
        <v>1595</v>
      </c>
      <c r="F560" s="111"/>
      <c r="G560" s="111"/>
      <c r="H560" s="172">
        <v>216974</v>
      </c>
      <c r="I560" s="172">
        <f t="shared" si="24"/>
        <v>238671.40000000002</v>
      </c>
      <c r="J560" s="111"/>
      <c r="L560" s="41">
        <f>VLOOKUP(E560,[3]단가!B$4:M$724,12,0)</f>
        <v>216974</v>
      </c>
      <c r="M560" s="118">
        <f t="shared" si="25"/>
        <v>0</v>
      </c>
      <c r="N560" s="481">
        <f t="shared" si="26"/>
        <v>0</v>
      </c>
    </row>
    <row r="561" spans="1:14">
      <c r="A561" s="111">
        <v>558</v>
      </c>
      <c r="B561" s="111" t="s">
        <v>257</v>
      </c>
      <c r="C561" s="111" t="s">
        <v>1596</v>
      </c>
      <c r="D561" s="111" t="s">
        <v>1530</v>
      </c>
      <c r="E561" s="111" t="s">
        <v>1597</v>
      </c>
      <c r="F561" s="111"/>
      <c r="G561" s="111"/>
      <c r="H561" s="172">
        <v>55750</v>
      </c>
      <c r="I561" s="172">
        <f t="shared" si="24"/>
        <v>61325.000000000007</v>
      </c>
      <c r="J561" s="111"/>
      <c r="L561" s="41">
        <f>VLOOKUP(E561,[3]단가!B$4:M$724,12,0)</f>
        <v>55750</v>
      </c>
      <c r="M561" s="118">
        <f t="shared" si="25"/>
        <v>0</v>
      </c>
      <c r="N561" s="481">
        <f t="shared" si="26"/>
        <v>0</v>
      </c>
    </row>
    <row r="562" spans="1:14">
      <c r="A562" s="111">
        <v>559</v>
      </c>
      <c r="B562" s="111" t="s">
        <v>257</v>
      </c>
      <c r="C562" s="111" t="s">
        <v>1596</v>
      </c>
      <c r="D562" s="111" t="s">
        <v>1530</v>
      </c>
      <c r="E562" s="111" t="s">
        <v>1598</v>
      </c>
      <c r="F562" s="111"/>
      <c r="G562" s="111"/>
      <c r="H562" s="172">
        <v>66400</v>
      </c>
      <c r="I562" s="172">
        <f t="shared" si="24"/>
        <v>73040</v>
      </c>
      <c r="J562" s="111"/>
      <c r="L562" s="41">
        <f>VLOOKUP(E562,[3]단가!B$4:M$724,12,0)</f>
        <v>66400</v>
      </c>
      <c r="M562" s="118">
        <f t="shared" si="25"/>
        <v>0</v>
      </c>
      <c r="N562" s="481">
        <f t="shared" si="26"/>
        <v>0</v>
      </c>
    </row>
    <row r="563" spans="1:14">
      <c r="A563" s="111">
        <v>560</v>
      </c>
      <c r="B563" s="111" t="s">
        <v>257</v>
      </c>
      <c r="C563" s="111" t="s">
        <v>1596</v>
      </c>
      <c r="D563" s="111" t="s">
        <v>1530</v>
      </c>
      <c r="E563" s="111" t="s">
        <v>1599</v>
      </c>
      <c r="F563" s="111"/>
      <c r="G563" s="111"/>
      <c r="H563" s="172">
        <v>87718</v>
      </c>
      <c r="I563" s="172">
        <f t="shared" si="24"/>
        <v>96489.8</v>
      </c>
      <c r="J563" s="111"/>
      <c r="L563" s="41">
        <f>VLOOKUP(E563,[3]단가!B$4:M$724,12,0)</f>
        <v>87718</v>
      </c>
      <c r="M563" s="118">
        <f t="shared" si="25"/>
        <v>0</v>
      </c>
      <c r="N563" s="481">
        <f t="shared" si="26"/>
        <v>0</v>
      </c>
    </row>
    <row r="564" spans="1:14">
      <c r="A564" s="111">
        <v>561</v>
      </c>
      <c r="B564" s="111" t="s">
        <v>257</v>
      </c>
      <c r="C564" s="111" t="s">
        <v>1596</v>
      </c>
      <c r="D564" s="111" t="s">
        <v>1530</v>
      </c>
      <c r="E564" s="111" t="s">
        <v>1600</v>
      </c>
      <c r="F564" s="111"/>
      <c r="G564" s="111"/>
      <c r="H564" s="172">
        <v>98368</v>
      </c>
      <c r="I564" s="172">
        <f t="shared" si="24"/>
        <v>108204.8</v>
      </c>
      <c r="J564" s="111"/>
      <c r="L564" s="41">
        <f>VLOOKUP(E564,[3]단가!B$4:M$724,12,0)</f>
        <v>98368</v>
      </c>
      <c r="M564" s="118">
        <f t="shared" si="25"/>
        <v>0</v>
      </c>
      <c r="N564" s="481">
        <f t="shared" si="26"/>
        <v>0</v>
      </c>
    </row>
    <row r="565" spans="1:14">
      <c r="A565" s="111">
        <v>562</v>
      </c>
      <c r="B565" s="111" t="s">
        <v>257</v>
      </c>
      <c r="C565" s="111" t="s">
        <v>1596</v>
      </c>
      <c r="D565" s="111" t="s">
        <v>1530</v>
      </c>
      <c r="E565" s="111" t="s">
        <v>1601</v>
      </c>
      <c r="F565" s="111"/>
      <c r="G565" s="111"/>
      <c r="H565" s="172">
        <v>109027</v>
      </c>
      <c r="I565" s="172">
        <f t="shared" si="24"/>
        <v>119929.70000000001</v>
      </c>
      <c r="J565" s="111"/>
      <c r="L565" s="41">
        <f>VLOOKUP(E565,[3]단가!B$4:M$724,12,0)</f>
        <v>109027</v>
      </c>
      <c r="M565" s="118">
        <f t="shared" si="25"/>
        <v>0</v>
      </c>
      <c r="N565" s="481">
        <f t="shared" si="26"/>
        <v>0</v>
      </c>
    </row>
    <row r="566" spans="1:14">
      <c r="A566" s="111">
        <v>563</v>
      </c>
      <c r="B566" s="111" t="s">
        <v>257</v>
      </c>
      <c r="C566" s="111" t="s">
        <v>1596</v>
      </c>
      <c r="D566" s="111" t="s">
        <v>1530</v>
      </c>
      <c r="E566" s="111" t="s">
        <v>1602</v>
      </c>
      <c r="F566" s="111"/>
      <c r="G566" s="111"/>
      <c r="H566" s="172">
        <v>119685</v>
      </c>
      <c r="I566" s="172">
        <f t="shared" si="24"/>
        <v>131653.5</v>
      </c>
      <c r="J566" s="111"/>
      <c r="L566" s="41">
        <f>VLOOKUP(E566,[3]단가!B$4:M$724,12,0)</f>
        <v>119685</v>
      </c>
      <c r="M566" s="118">
        <f t="shared" si="25"/>
        <v>0</v>
      </c>
      <c r="N566" s="481">
        <f t="shared" si="26"/>
        <v>0</v>
      </c>
    </row>
    <row r="567" spans="1:14">
      <c r="A567" s="111">
        <v>564</v>
      </c>
      <c r="B567" s="111" t="s">
        <v>257</v>
      </c>
      <c r="C567" s="111" t="s">
        <v>1596</v>
      </c>
      <c r="D567" s="111" t="s">
        <v>1530</v>
      </c>
      <c r="E567" s="111" t="s">
        <v>1603</v>
      </c>
      <c r="F567" s="111"/>
      <c r="G567" s="111"/>
      <c r="H567" s="172">
        <v>130345</v>
      </c>
      <c r="I567" s="172">
        <f t="shared" si="24"/>
        <v>143379.5</v>
      </c>
      <c r="J567" s="111"/>
      <c r="L567" s="41">
        <f>VLOOKUP(E567,[3]단가!B$4:M$724,12,0)</f>
        <v>130345</v>
      </c>
      <c r="M567" s="118">
        <f t="shared" si="25"/>
        <v>0</v>
      </c>
      <c r="N567" s="481">
        <f t="shared" si="26"/>
        <v>0</v>
      </c>
    </row>
    <row r="568" spans="1:14">
      <c r="A568" s="111">
        <v>565</v>
      </c>
      <c r="B568" s="111" t="s">
        <v>257</v>
      </c>
      <c r="C568" s="111" t="s">
        <v>1596</v>
      </c>
      <c r="D568" s="111" t="s">
        <v>1530</v>
      </c>
      <c r="E568" s="111" t="s">
        <v>1604</v>
      </c>
      <c r="F568" s="111"/>
      <c r="G568" s="111"/>
      <c r="H568" s="172">
        <v>140994</v>
      </c>
      <c r="I568" s="172">
        <f t="shared" si="24"/>
        <v>155093.40000000002</v>
      </c>
      <c r="J568" s="111"/>
      <c r="L568" s="41">
        <f>VLOOKUP(E568,[3]단가!B$4:M$724,12,0)</f>
        <v>140994</v>
      </c>
      <c r="M568" s="118">
        <f t="shared" si="25"/>
        <v>0</v>
      </c>
      <c r="N568" s="481">
        <f t="shared" si="26"/>
        <v>0</v>
      </c>
    </row>
    <row r="569" spans="1:14">
      <c r="A569" s="111">
        <v>566</v>
      </c>
      <c r="B569" s="111" t="s">
        <v>257</v>
      </c>
      <c r="C569" s="111" t="s">
        <v>1596</v>
      </c>
      <c r="D569" s="111" t="s">
        <v>1530</v>
      </c>
      <c r="E569" s="111" t="s">
        <v>1605</v>
      </c>
      <c r="F569" s="111"/>
      <c r="G569" s="111"/>
      <c r="H569" s="172">
        <v>151653</v>
      </c>
      <c r="I569" s="172">
        <f t="shared" si="24"/>
        <v>166818.30000000002</v>
      </c>
      <c r="J569" s="111"/>
      <c r="L569" s="41">
        <f>VLOOKUP(E569,[3]단가!B$4:M$724,12,0)</f>
        <v>151653</v>
      </c>
      <c r="M569" s="118">
        <f t="shared" si="25"/>
        <v>0</v>
      </c>
      <c r="N569" s="481">
        <f t="shared" si="26"/>
        <v>0</v>
      </c>
    </row>
    <row r="570" spans="1:14">
      <c r="A570" s="111">
        <v>567</v>
      </c>
      <c r="B570" s="111" t="s">
        <v>257</v>
      </c>
      <c r="C570" s="111" t="s">
        <v>1596</v>
      </c>
      <c r="D570" s="111" t="s">
        <v>1530</v>
      </c>
      <c r="E570" s="111" t="s">
        <v>1606</v>
      </c>
      <c r="F570" s="111"/>
      <c r="G570" s="111"/>
      <c r="H570" s="172">
        <v>162312</v>
      </c>
      <c r="I570" s="172">
        <f t="shared" si="24"/>
        <v>178543.2</v>
      </c>
      <c r="J570" s="111"/>
      <c r="L570" s="41">
        <f>VLOOKUP(E570,[3]단가!B$4:M$724,12,0)</f>
        <v>162312</v>
      </c>
      <c r="M570" s="118">
        <f t="shared" si="25"/>
        <v>0</v>
      </c>
      <c r="N570" s="481">
        <f t="shared" si="26"/>
        <v>0</v>
      </c>
    </row>
    <row r="571" spans="1:14">
      <c r="A571" s="111">
        <v>568</v>
      </c>
      <c r="B571" s="111" t="s">
        <v>257</v>
      </c>
      <c r="C571" s="111" t="s">
        <v>1596</v>
      </c>
      <c r="D571" s="111" t="s">
        <v>1530</v>
      </c>
      <c r="E571" s="111" t="s">
        <v>1607</v>
      </c>
      <c r="F571" s="111"/>
      <c r="G571" s="111"/>
      <c r="H571" s="172">
        <v>172962</v>
      </c>
      <c r="I571" s="172">
        <f t="shared" si="24"/>
        <v>190258.2</v>
      </c>
      <c r="J571" s="111"/>
      <c r="L571" s="41">
        <f>VLOOKUP(E571,[3]단가!B$4:M$724,12,0)</f>
        <v>172962</v>
      </c>
      <c r="M571" s="118">
        <f t="shared" si="25"/>
        <v>0</v>
      </c>
      <c r="N571" s="481">
        <f t="shared" si="26"/>
        <v>0</v>
      </c>
    </row>
    <row r="572" spans="1:14">
      <c r="A572" s="111">
        <v>569</v>
      </c>
      <c r="B572" s="111" t="s">
        <v>257</v>
      </c>
      <c r="C572" s="111" t="s">
        <v>1596</v>
      </c>
      <c r="D572" s="111" t="s">
        <v>1530</v>
      </c>
      <c r="E572" s="111" t="s">
        <v>1608</v>
      </c>
      <c r="F572" s="111"/>
      <c r="G572" s="111"/>
      <c r="H572" s="172">
        <v>183621</v>
      </c>
      <c r="I572" s="172">
        <f t="shared" si="24"/>
        <v>201983.1</v>
      </c>
      <c r="J572" s="111"/>
      <c r="L572" s="41">
        <f>VLOOKUP(E572,[3]단가!B$4:M$724,12,0)</f>
        <v>183621</v>
      </c>
      <c r="M572" s="118">
        <f t="shared" si="25"/>
        <v>0</v>
      </c>
      <c r="N572" s="481">
        <f t="shared" si="26"/>
        <v>0</v>
      </c>
    </row>
    <row r="573" spans="1:14">
      <c r="A573" s="111">
        <v>570</v>
      </c>
      <c r="B573" s="111" t="s">
        <v>257</v>
      </c>
      <c r="C573" s="111" t="s">
        <v>1596</v>
      </c>
      <c r="D573" s="111" t="s">
        <v>1530</v>
      </c>
      <c r="E573" s="111" t="s">
        <v>1609</v>
      </c>
      <c r="F573" s="111"/>
      <c r="G573" s="111"/>
      <c r="H573" s="172">
        <v>194280</v>
      </c>
      <c r="I573" s="172">
        <f t="shared" si="24"/>
        <v>213708.00000000003</v>
      </c>
      <c r="J573" s="111"/>
      <c r="L573" s="41">
        <f>VLOOKUP(E573,[3]단가!B$4:M$724,12,0)</f>
        <v>194280</v>
      </c>
      <c r="M573" s="118">
        <f t="shared" si="25"/>
        <v>0</v>
      </c>
      <c r="N573" s="481">
        <f t="shared" si="26"/>
        <v>0</v>
      </c>
    </row>
    <row r="574" spans="1:14">
      <c r="A574" s="111">
        <v>571</v>
      </c>
      <c r="B574" s="111" t="s">
        <v>257</v>
      </c>
      <c r="C574" s="111" t="s">
        <v>1596</v>
      </c>
      <c r="D574" s="111" t="s">
        <v>1530</v>
      </c>
      <c r="E574" s="111" t="s">
        <v>1610</v>
      </c>
      <c r="F574" s="111"/>
      <c r="G574" s="111"/>
      <c r="H574" s="172">
        <v>204929</v>
      </c>
      <c r="I574" s="172">
        <f t="shared" si="24"/>
        <v>225421.90000000002</v>
      </c>
      <c r="J574" s="111"/>
      <c r="L574" s="41">
        <f>VLOOKUP(E574,[3]단가!B$4:M$724,12,0)</f>
        <v>204929</v>
      </c>
      <c r="M574" s="118">
        <f t="shared" si="25"/>
        <v>0</v>
      </c>
      <c r="N574" s="481">
        <f t="shared" si="26"/>
        <v>0</v>
      </c>
    </row>
    <row r="575" spans="1:14">
      <c r="A575" s="111">
        <v>572</v>
      </c>
      <c r="B575" s="111" t="s">
        <v>257</v>
      </c>
      <c r="C575" s="111" t="s">
        <v>1596</v>
      </c>
      <c r="D575" s="111" t="s">
        <v>1530</v>
      </c>
      <c r="E575" s="111" t="s">
        <v>1611</v>
      </c>
      <c r="F575" s="111"/>
      <c r="G575" s="111"/>
      <c r="H575" s="172">
        <v>215589</v>
      </c>
      <c r="I575" s="172">
        <f t="shared" si="24"/>
        <v>237147.90000000002</v>
      </c>
      <c r="J575" s="111"/>
      <c r="L575" s="41">
        <f>VLOOKUP(E575,[3]단가!B$4:M$724,12,0)</f>
        <v>215589</v>
      </c>
      <c r="M575" s="118">
        <f t="shared" si="25"/>
        <v>0</v>
      </c>
      <c r="N575" s="481">
        <f t="shared" si="26"/>
        <v>0</v>
      </c>
    </row>
    <row r="576" spans="1:14">
      <c r="A576" s="111">
        <v>573</v>
      </c>
      <c r="B576" s="111" t="s">
        <v>257</v>
      </c>
      <c r="C576" s="111" t="s">
        <v>1596</v>
      </c>
      <c r="D576" s="111" t="s">
        <v>1530</v>
      </c>
      <c r="E576" s="111" t="s">
        <v>1612</v>
      </c>
      <c r="F576" s="111"/>
      <c r="G576" s="111"/>
      <c r="H576" s="172">
        <v>226247</v>
      </c>
      <c r="I576" s="172">
        <f t="shared" si="24"/>
        <v>248871.7</v>
      </c>
      <c r="J576" s="111"/>
      <c r="L576" s="41">
        <f>VLOOKUP(E576,[3]단가!B$4:M$724,12,0)</f>
        <v>226247</v>
      </c>
      <c r="M576" s="118">
        <f t="shared" si="25"/>
        <v>0</v>
      </c>
      <c r="N576" s="481">
        <f t="shared" si="26"/>
        <v>0</v>
      </c>
    </row>
    <row r="577" spans="1:14">
      <c r="A577" s="111">
        <v>574</v>
      </c>
      <c r="B577" s="111" t="s">
        <v>257</v>
      </c>
      <c r="C577" s="111" t="s">
        <v>1596</v>
      </c>
      <c r="D577" s="111" t="s">
        <v>1530</v>
      </c>
      <c r="E577" s="111" t="s">
        <v>1613</v>
      </c>
      <c r="F577" s="111"/>
      <c r="G577" s="111"/>
      <c r="H577" s="172">
        <v>248675</v>
      </c>
      <c r="I577" s="172">
        <f t="shared" si="24"/>
        <v>273542.5</v>
      </c>
      <c r="J577" s="111"/>
      <c r="L577" s="41">
        <f>VLOOKUP(E577,[3]단가!B$4:M$724,12,0)</f>
        <v>248675</v>
      </c>
      <c r="M577" s="118">
        <f t="shared" si="25"/>
        <v>0</v>
      </c>
      <c r="N577" s="481">
        <f t="shared" si="26"/>
        <v>0</v>
      </c>
    </row>
    <row r="578" spans="1:14">
      <c r="A578" s="111">
        <v>575</v>
      </c>
      <c r="B578" s="111" t="s">
        <v>257</v>
      </c>
      <c r="C578" s="111" t="s">
        <v>1596</v>
      </c>
      <c r="D578" s="111" t="s">
        <v>1530</v>
      </c>
      <c r="E578" s="111" t="s">
        <v>1614</v>
      </c>
      <c r="F578" s="111"/>
      <c r="G578" s="111"/>
      <c r="H578" s="172">
        <v>247556</v>
      </c>
      <c r="I578" s="172">
        <f t="shared" si="24"/>
        <v>272311.60000000003</v>
      </c>
      <c r="J578" s="111"/>
      <c r="L578" s="41">
        <f>VLOOKUP(E578,[3]단가!B$4:M$724,12,0)</f>
        <v>247556</v>
      </c>
      <c r="M578" s="118">
        <f t="shared" si="25"/>
        <v>0</v>
      </c>
      <c r="N578" s="481">
        <f t="shared" si="26"/>
        <v>0</v>
      </c>
    </row>
    <row r="579" spans="1:14">
      <c r="A579" s="111">
        <v>576</v>
      </c>
      <c r="B579" s="111" t="s">
        <v>257</v>
      </c>
      <c r="C579" s="111" t="s">
        <v>1596</v>
      </c>
      <c r="D579" s="111" t="s">
        <v>1530</v>
      </c>
      <c r="E579" s="111" t="s">
        <v>1615</v>
      </c>
      <c r="F579" s="111"/>
      <c r="G579" s="111"/>
      <c r="H579" s="172">
        <v>258214</v>
      </c>
      <c r="I579" s="172">
        <f t="shared" si="24"/>
        <v>284035.40000000002</v>
      </c>
      <c r="J579" s="111"/>
      <c r="L579" s="41">
        <f>VLOOKUP(E579,[3]단가!B$4:M$724,12,0)</f>
        <v>258214</v>
      </c>
      <c r="M579" s="118">
        <f t="shared" si="25"/>
        <v>0</v>
      </c>
      <c r="N579" s="481">
        <f t="shared" si="26"/>
        <v>0</v>
      </c>
    </row>
    <row r="580" spans="1:14">
      <c r="A580" s="111">
        <v>577</v>
      </c>
      <c r="B580" s="111" t="s">
        <v>257</v>
      </c>
      <c r="C580" s="111" t="s">
        <v>1596</v>
      </c>
      <c r="D580" s="111" t="s">
        <v>1530</v>
      </c>
      <c r="E580" s="111" t="s">
        <v>1616</v>
      </c>
      <c r="F580" s="111"/>
      <c r="G580" s="111"/>
      <c r="H580" s="172">
        <v>273035</v>
      </c>
      <c r="I580" s="172">
        <f t="shared" si="24"/>
        <v>300338.5</v>
      </c>
      <c r="J580" s="111"/>
      <c r="L580" s="41">
        <f>VLOOKUP(E580,[3]단가!B$4:M$724,12,0)</f>
        <v>273035</v>
      </c>
      <c r="M580" s="118">
        <f t="shared" si="25"/>
        <v>0</v>
      </c>
      <c r="N580" s="481">
        <f t="shared" si="26"/>
        <v>0</v>
      </c>
    </row>
    <row r="581" spans="1:14">
      <c r="A581" s="111">
        <v>578</v>
      </c>
      <c r="B581" s="111" t="s">
        <v>257</v>
      </c>
      <c r="C581" s="111" t="s">
        <v>1596</v>
      </c>
      <c r="D581" s="111" t="s">
        <v>1530</v>
      </c>
      <c r="E581" s="111" t="s">
        <v>1617</v>
      </c>
      <c r="F581" s="111"/>
      <c r="G581" s="111"/>
      <c r="H581" s="172">
        <v>279429</v>
      </c>
      <c r="I581" s="172">
        <f t="shared" ref="I581:I644" si="27">IF(D581="Y",H581*$I$3,H581*$J$3)</f>
        <v>307371.90000000002</v>
      </c>
      <c r="J581" s="111"/>
      <c r="L581" s="41">
        <f>VLOOKUP(E581,[3]단가!B$4:M$724,12,0)</f>
        <v>279429</v>
      </c>
      <c r="M581" s="118">
        <f t="shared" si="25"/>
        <v>0</v>
      </c>
      <c r="N581" s="481">
        <f t="shared" si="26"/>
        <v>0</v>
      </c>
    </row>
    <row r="582" spans="1:14">
      <c r="A582" s="111">
        <v>579</v>
      </c>
      <c r="B582" s="111" t="s">
        <v>257</v>
      </c>
      <c r="C582" s="111" t="s">
        <v>1596</v>
      </c>
      <c r="D582" s="111" t="s">
        <v>1530</v>
      </c>
      <c r="E582" s="111" t="s">
        <v>1618</v>
      </c>
      <c r="F582" s="111"/>
      <c r="G582" s="111"/>
      <c r="H582" s="172">
        <v>292320</v>
      </c>
      <c r="I582" s="172">
        <f t="shared" si="27"/>
        <v>321552</v>
      </c>
      <c r="J582" s="111"/>
      <c r="L582" s="41">
        <f>VLOOKUP(E582,[3]단가!B$4:M$724,12,0)</f>
        <v>292320</v>
      </c>
      <c r="M582" s="118">
        <f t="shared" ref="M582:M645" si="28">L582-H582</f>
        <v>0</v>
      </c>
      <c r="N582" s="481">
        <f t="shared" ref="N582:N645" si="29">M582/H582</f>
        <v>0</v>
      </c>
    </row>
    <row r="583" spans="1:14">
      <c r="A583" s="111">
        <v>580</v>
      </c>
      <c r="B583" s="111" t="s">
        <v>257</v>
      </c>
      <c r="C583" s="111" t="s">
        <v>1596</v>
      </c>
      <c r="D583" s="111" t="s">
        <v>1530</v>
      </c>
      <c r="E583" s="111" t="s">
        <v>1619</v>
      </c>
      <c r="F583" s="111"/>
      <c r="G583" s="111"/>
      <c r="H583" s="172">
        <v>300841</v>
      </c>
      <c r="I583" s="172">
        <f t="shared" si="27"/>
        <v>330925.10000000003</v>
      </c>
      <c r="J583" s="111"/>
      <c r="L583" s="41">
        <f>VLOOKUP(E583,[3]단가!B$4:M$724,12,0)</f>
        <v>300841</v>
      </c>
      <c r="M583" s="118">
        <f t="shared" si="28"/>
        <v>0</v>
      </c>
      <c r="N583" s="481">
        <f t="shared" si="29"/>
        <v>0</v>
      </c>
    </row>
    <row r="584" spans="1:14">
      <c r="A584" s="111">
        <v>581</v>
      </c>
      <c r="B584" s="111" t="s">
        <v>257</v>
      </c>
      <c r="C584" s="111" t="s">
        <v>1596</v>
      </c>
      <c r="D584" s="111" t="s">
        <v>1530</v>
      </c>
      <c r="E584" s="111" t="s">
        <v>1620</v>
      </c>
      <c r="F584" s="111"/>
      <c r="G584" s="111"/>
      <c r="H584" s="172">
        <v>299425</v>
      </c>
      <c r="I584" s="172">
        <f t="shared" si="27"/>
        <v>329367.5</v>
      </c>
      <c r="J584" s="111"/>
      <c r="L584" s="41">
        <f>VLOOKUP(E584,[3]단가!B$4:M$724,12,0)</f>
        <v>299425</v>
      </c>
      <c r="M584" s="118">
        <f t="shared" si="28"/>
        <v>0</v>
      </c>
      <c r="N584" s="481">
        <f t="shared" si="29"/>
        <v>0</v>
      </c>
    </row>
    <row r="585" spans="1:14">
      <c r="A585" s="111">
        <v>582</v>
      </c>
      <c r="B585" s="111" t="s">
        <v>257</v>
      </c>
      <c r="C585" s="111" t="s">
        <v>1596</v>
      </c>
      <c r="D585" s="111" t="s">
        <v>1530</v>
      </c>
      <c r="E585" s="111" t="s">
        <v>1621</v>
      </c>
      <c r="F585" s="111"/>
      <c r="G585" s="111"/>
      <c r="H585" s="172">
        <v>322149</v>
      </c>
      <c r="I585" s="172">
        <f t="shared" si="27"/>
        <v>354363.9</v>
      </c>
      <c r="J585" s="111"/>
      <c r="L585" s="41">
        <f>VLOOKUP(E585,[3]단가!B$4:M$724,12,0)</f>
        <v>322149</v>
      </c>
      <c r="M585" s="118">
        <f t="shared" si="28"/>
        <v>0</v>
      </c>
      <c r="N585" s="481">
        <f t="shared" si="29"/>
        <v>0</v>
      </c>
    </row>
    <row r="586" spans="1:14">
      <c r="A586" s="111">
        <v>583</v>
      </c>
      <c r="B586" s="111" t="s">
        <v>257</v>
      </c>
      <c r="C586" s="111" t="s">
        <v>1596</v>
      </c>
      <c r="D586" s="111" t="s">
        <v>1530</v>
      </c>
      <c r="E586" s="111" t="s">
        <v>1622</v>
      </c>
      <c r="F586" s="111"/>
      <c r="G586" s="111"/>
      <c r="H586" s="172">
        <v>322149</v>
      </c>
      <c r="I586" s="172">
        <f t="shared" si="27"/>
        <v>354363.9</v>
      </c>
      <c r="J586" s="111"/>
      <c r="L586" s="41">
        <f>VLOOKUP(E586,[3]단가!B$4:M$724,12,0)</f>
        <v>322149</v>
      </c>
      <c r="M586" s="118">
        <f t="shared" si="28"/>
        <v>0</v>
      </c>
      <c r="N586" s="481">
        <f t="shared" si="29"/>
        <v>0</v>
      </c>
    </row>
    <row r="587" spans="1:14">
      <c r="A587" s="111">
        <v>584</v>
      </c>
      <c r="B587" s="111" t="s">
        <v>257</v>
      </c>
      <c r="C587" s="111" t="s">
        <v>1596</v>
      </c>
      <c r="D587" s="111" t="s">
        <v>1530</v>
      </c>
      <c r="E587" s="111" t="s">
        <v>1623</v>
      </c>
      <c r="F587" s="111"/>
      <c r="G587" s="111"/>
      <c r="H587" s="172">
        <v>322149</v>
      </c>
      <c r="I587" s="172">
        <f t="shared" si="27"/>
        <v>354363.9</v>
      </c>
      <c r="J587" s="111"/>
      <c r="L587" s="41">
        <f>VLOOKUP(E587,[3]단가!B$4:M$724,12,0)</f>
        <v>322149</v>
      </c>
      <c r="M587" s="118">
        <f t="shared" si="28"/>
        <v>0</v>
      </c>
      <c r="N587" s="481">
        <f t="shared" si="29"/>
        <v>0</v>
      </c>
    </row>
    <row r="588" spans="1:14">
      <c r="A588" s="111">
        <v>585</v>
      </c>
      <c r="B588" s="111" t="s">
        <v>257</v>
      </c>
      <c r="C588" s="111" t="s">
        <v>1624</v>
      </c>
      <c r="D588" s="111" t="s">
        <v>1530</v>
      </c>
      <c r="E588" s="111" t="s">
        <v>1625</v>
      </c>
      <c r="F588" s="111" t="s">
        <v>1626</v>
      </c>
      <c r="G588" s="111" t="s">
        <v>1627</v>
      </c>
      <c r="H588" s="172">
        <v>16341</v>
      </c>
      <c r="I588" s="172">
        <f t="shared" si="27"/>
        <v>17975.100000000002</v>
      </c>
      <c r="J588" s="111"/>
      <c r="L588" s="41">
        <f>VLOOKUP(E588,[3]단가!B$4:M$724,12,0)</f>
        <v>16341</v>
      </c>
      <c r="M588" s="118">
        <f t="shared" si="28"/>
        <v>0</v>
      </c>
      <c r="N588" s="481">
        <f t="shared" si="29"/>
        <v>0</v>
      </c>
    </row>
    <row r="589" spans="1:14">
      <c r="A589" s="111">
        <v>586</v>
      </c>
      <c r="B589" s="111" t="s">
        <v>257</v>
      </c>
      <c r="C589" s="111" t="s">
        <v>1624</v>
      </c>
      <c r="D589" s="111" t="s">
        <v>1530</v>
      </c>
      <c r="E589" s="111" t="s">
        <v>1628</v>
      </c>
      <c r="F589" s="111" t="s">
        <v>1626</v>
      </c>
      <c r="G589" s="111" t="s">
        <v>1627</v>
      </c>
      <c r="H589" s="172">
        <v>37555</v>
      </c>
      <c r="I589" s="172">
        <f t="shared" si="27"/>
        <v>41310.5</v>
      </c>
      <c r="J589" s="111"/>
      <c r="L589" s="41">
        <f>VLOOKUP(E589,[3]단가!B$4:M$724,12,0)</f>
        <v>37555</v>
      </c>
      <c r="M589" s="118">
        <f t="shared" si="28"/>
        <v>0</v>
      </c>
      <c r="N589" s="481">
        <f t="shared" si="29"/>
        <v>0</v>
      </c>
    </row>
    <row r="590" spans="1:14">
      <c r="A590" s="111">
        <v>587</v>
      </c>
      <c r="B590" s="111" t="s">
        <v>257</v>
      </c>
      <c r="C590" s="111" t="s">
        <v>280</v>
      </c>
      <c r="D590" s="111" t="s">
        <v>1530</v>
      </c>
      <c r="E590" s="111" t="s">
        <v>1629</v>
      </c>
      <c r="F590" s="111" t="s">
        <v>280</v>
      </c>
      <c r="G590" s="111"/>
      <c r="H590" s="172">
        <v>934</v>
      </c>
      <c r="I590" s="172">
        <f t="shared" si="27"/>
        <v>1027.4000000000001</v>
      </c>
      <c r="J590" s="111"/>
      <c r="L590" s="41">
        <f>VLOOKUP(E590,[3]단가!B$4:M$724,12,0)</f>
        <v>934</v>
      </c>
      <c r="M590" s="118">
        <f t="shared" si="28"/>
        <v>0</v>
      </c>
      <c r="N590" s="481">
        <f t="shared" si="29"/>
        <v>0</v>
      </c>
    </row>
    <row r="591" spans="1:14">
      <c r="A591" s="111">
        <v>588</v>
      </c>
      <c r="B591" s="111" t="s">
        <v>257</v>
      </c>
      <c r="C591" s="111" t="s">
        <v>280</v>
      </c>
      <c r="D591" s="111" t="s">
        <v>1530</v>
      </c>
      <c r="E591" s="111" t="s">
        <v>1630</v>
      </c>
      <c r="F591" s="111" t="s">
        <v>280</v>
      </c>
      <c r="G591" s="111"/>
      <c r="H591" s="172">
        <v>1428</v>
      </c>
      <c r="I591" s="172">
        <f t="shared" si="27"/>
        <v>1570.8000000000002</v>
      </c>
      <c r="J591" s="111"/>
      <c r="L591" s="41">
        <f>VLOOKUP(E591,[3]단가!B$4:M$724,12,0)</f>
        <v>1428</v>
      </c>
      <c r="M591" s="118">
        <f t="shared" si="28"/>
        <v>0</v>
      </c>
      <c r="N591" s="481">
        <f t="shared" si="29"/>
        <v>0</v>
      </c>
    </row>
    <row r="592" spans="1:14">
      <c r="A592" s="111">
        <v>589</v>
      </c>
      <c r="B592" s="111" t="s">
        <v>257</v>
      </c>
      <c r="C592" s="111" t="s">
        <v>280</v>
      </c>
      <c r="D592" s="111" t="s">
        <v>1530</v>
      </c>
      <c r="E592" s="111" t="s">
        <v>1631</v>
      </c>
      <c r="F592" s="111" t="s">
        <v>1632</v>
      </c>
      <c r="G592" s="111"/>
      <c r="H592" s="172">
        <v>2764</v>
      </c>
      <c r="I592" s="172">
        <f t="shared" si="27"/>
        <v>3040.4</v>
      </c>
      <c r="J592" s="111"/>
      <c r="L592" s="41">
        <f>VLOOKUP(E592,[3]단가!B$4:M$724,12,0)</f>
        <v>2764</v>
      </c>
      <c r="M592" s="118">
        <f t="shared" si="28"/>
        <v>0</v>
      </c>
      <c r="N592" s="481">
        <f t="shared" si="29"/>
        <v>0</v>
      </c>
    </row>
    <row r="593" spans="1:14">
      <c r="A593" s="111">
        <v>590</v>
      </c>
      <c r="B593" s="111" t="s">
        <v>257</v>
      </c>
      <c r="C593" s="111" t="s">
        <v>280</v>
      </c>
      <c r="D593" s="111" t="s">
        <v>1530</v>
      </c>
      <c r="E593" s="111" t="s">
        <v>1633</v>
      </c>
      <c r="F593" s="111" t="s">
        <v>280</v>
      </c>
      <c r="G593" s="111"/>
      <c r="H593" s="172">
        <v>4352</v>
      </c>
      <c r="I593" s="172">
        <f t="shared" si="27"/>
        <v>4787.2000000000007</v>
      </c>
      <c r="J593" s="111"/>
      <c r="L593" s="41">
        <f>VLOOKUP(E593,[3]단가!B$4:M$724,12,0)</f>
        <v>4352</v>
      </c>
      <c r="M593" s="118">
        <f t="shared" si="28"/>
        <v>0</v>
      </c>
      <c r="N593" s="481">
        <f t="shared" si="29"/>
        <v>0</v>
      </c>
    </row>
    <row r="594" spans="1:14">
      <c r="A594" s="111">
        <v>591</v>
      </c>
      <c r="B594" s="111" t="s">
        <v>257</v>
      </c>
      <c r="C594" s="111" t="s">
        <v>280</v>
      </c>
      <c r="D594" s="111" t="s">
        <v>1530</v>
      </c>
      <c r="E594" s="111" t="s">
        <v>1634</v>
      </c>
      <c r="F594" s="111" t="s">
        <v>280</v>
      </c>
      <c r="G594" s="111"/>
      <c r="H594" s="172">
        <v>6676</v>
      </c>
      <c r="I594" s="172">
        <f t="shared" si="27"/>
        <v>7343.6</v>
      </c>
      <c r="J594" s="111"/>
      <c r="L594" s="41">
        <f>VLOOKUP(E594,[3]단가!B$4:M$724,12,0)</f>
        <v>6676</v>
      </c>
      <c r="M594" s="118">
        <f t="shared" si="28"/>
        <v>0</v>
      </c>
      <c r="N594" s="481">
        <f t="shared" si="29"/>
        <v>0</v>
      </c>
    </row>
    <row r="595" spans="1:14">
      <c r="A595" s="111">
        <v>592</v>
      </c>
      <c r="B595" s="111" t="s">
        <v>371</v>
      </c>
      <c r="C595" s="111" t="s">
        <v>1635</v>
      </c>
      <c r="D595" s="111" t="s">
        <v>1530</v>
      </c>
      <c r="E595" s="111" t="s">
        <v>1636</v>
      </c>
      <c r="F595" s="111" t="s">
        <v>1637</v>
      </c>
      <c r="G595" s="111" t="s">
        <v>1638</v>
      </c>
      <c r="H595" s="172">
        <v>12694</v>
      </c>
      <c r="I595" s="172">
        <f t="shared" si="27"/>
        <v>13963.400000000001</v>
      </c>
      <c r="J595" s="111"/>
      <c r="L595" s="41">
        <f>VLOOKUP(E595,[3]단가!B$4:M$724,12,0)</f>
        <v>12694</v>
      </c>
      <c r="M595" s="118">
        <f t="shared" si="28"/>
        <v>0</v>
      </c>
      <c r="N595" s="481">
        <f t="shared" si="29"/>
        <v>0</v>
      </c>
    </row>
    <row r="596" spans="1:14">
      <c r="A596" s="111">
        <v>593</v>
      </c>
      <c r="B596" s="111" t="s">
        <v>371</v>
      </c>
      <c r="C596" s="111" t="s">
        <v>374</v>
      </c>
      <c r="D596" s="111" t="s">
        <v>747</v>
      </c>
      <c r="E596" s="111" t="s">
        <v>370</v>
      </c>
      <c r="F596" s="111" t="s">
        <v>375</v>
      </c>
      <c r="G596" s="111" t="s">
        <v>371</v>
      </c>
      <c r="H596" s="172">
        <v>24491</v>
      </c>
      <c r="I596" s="172">
        <f t="shared" si="27"/>
        <v>24491</v>
      </c>
      <c r="J596" s="111" t="s">
        <v>1639</v>
      </c>
      <c r="L596" s="41">
        <f>VLOOKUP(E596,[3]단가!B$4:M$724,12,0)</f>
        <v>24491</v>
      </c>
      <c r="M596" s="118">
        <f t="shared" si="28"/>
        <v>0</v>
      </c>
      <c r="N596" s="481">
        <f t="shared" si="29"/>
        <v>0</v>
      </c>
    </row>
    <row r="597" spans="1:14">
      <c r="A597" s="111">
        <v>594</v>
      </c>
      <c r="B597" s="111" t="s">
        <v>371</v>
      </c>
      <c r="C597" s="111" t="s">
        <v>1640</v>
      </c>
      <c r="D597" s="111" t="s">
        <v>1530</v>
      </c>
      <c r="E597" s="111" t="s">
        <v>1641</v>
      </c>
      <c r="F597" s="111" t="s">
        <v>1642</v>
      </c>
      <c r="G597" s="111" t="s">
        <v>1643</v>
      </c>
      <c r="H597" s="172">
        <v>919</v>
      </c>
      <c r="I597" s="172">
        <f t="shared" si="27"/>
        <v>1010.9000000000001</v>
      </c>
      <c r="J597" s="111"/>
      <c r="L597" s="41">
        <f>VLOOKUP(E597,[3]단가!B$4:M$724,12,0)</f>
        <v>919</v>
      </c>
      <c r="M597" s="118">
        <f t="shared" si="28"/>
        <v>0</v>
      </c>
      <c r="N597" s="481">
        <f t="shared" si="29"/>
        <v>0</v>
      </c>
    </row>
    <row r="598" spans="1:14">
      <c r="A598" s="111">
        <v>595</v>
      </c>
      <c r="B598" s="111" t="s">
        <v>1644</v>
      </c>
      <c r="C598" s="111" t="s">
        <v>498</v>
      </c>
      <c r="D598" s="111" t="s">
        <v>1530</v>
      </c>
      <c r="E598" s="111" t="s">
        <v>1645</v>
      </c>
      <c r="F598" s="111" t="s">
        <v>1646</v>
      </c>
      <c r="G598" s="111" t="s">
        <v>1647</v>
      </c>
      <c r="H598" s="172">
        <v>85767</v>
      </c>
      <c r="I598" s="172">
        <f t="shared" si="27"/>
        <v>94343.700000000012</v>
      </c>
      <c r="J598" s="111"/>
      <c r="L598" s="41">
        <f>VLOOKUP(E598,[3]단가!B$4:M$724,12,0)</f>
        <v>85767</v>
      </c>
      <c r="M598" s="118">
        <f t="shared" si="28"/>
        <v>0</v>
      </c>
      <c r="N598" s="481">
        <f t="shared" si="29"/>
        <v>0</v>
      </c>
    </row>
    <row r="599" spans="1:14">
      <c r="A599" s="111">
        <v>596</v>
      </c>
      <c r="B599" s="111" t="s">
        <v>1644</v>
      </c>
      <c r="C599" s="111" t="s">
        <v>71</v>
      </c>
      <c r="D599" s="111" t="s">
        <v>747</v>
      </c>
      <c r="E599" s="111" t="s">
        <v>1648</v>
      </c>
      <c r="F599" s="111"/>
      <c r="G599" s="111"/>
      <c r="H599" s="172">
        <v>27522</v>
      </c>
      <c r="I599" s="172">
        <f t="shared" si="27"/>
        <v>27522</v>
      </c>
      <c r="J599" s="111" t="s">
        <v>1649</v>
      </c>
      <c r="L599" s="41">
        <f>VLOOKUP(E599,[3]단가!B$4:M$724,12,0)</f>
        <v>27522</v>
      </c>
      <c r="M599" s="118">
        <f t="shared" si="28"/>
        <v>0</v>
      </c>
      <c r="N599" s="481">
        <f t="shared" si="29"/>
        <v>0</v>
      </c>
    </row>
    <row r="600" spans="1:14">
      <c r="A600" s="111">
        <v>597</v>
      </c>
      <c r="B600" s="111" t="s">
        <v>1644</v>
      </c>
      <c r="C600" s="111" t="s">
        <v>493</v>
      </c>
      <c r="D600" s="111" t="s">
        <v>747</v>
      </c>
      <c r="E600" s="111" t="s">
        <v>1650</v>
      </c>
      <c r="F600" s="111"/>
      <c r="G600" s="111"/>
      <c r="H600" s="172">
        <v>68345</v>
      </c>
      <c r="I600" s="172">
        <f t="shared" si="27"/>
        <v>68345</v>
      </c>
      <c r="J600" s="111"/>
      <c r="L600" s="41">
        <f>VLOOKUP(E600,[3]단가!B$4:M$724,12,0)</f>
        <v>68345</v>
      </c>
      <c r="M600" s="118">
        <f t="shared" si="28"/>
        <v>0</v>
      </c>
      <c r="N600" s="481">
        <f t="shared" si="29"/>
        <v>0</v>
      </c>
    </row>
    <row r="601" spans="1:14">
      <c r="A601" s="111">
        <v>598</v>
      </c>
      <c r="B601" s="111" t="s">
        <v>1651</v>
      </c>
      <c r="C601" s="111" t="s">
        <v>1652</v>
      </c>
      <c r="D601" s="111" t="s">
        <v>1530</v>
      </c>
      <c r="E601" s="111" t="s">
        <v>1653</v>
      </c>
      <c r="F601" s="111"/>
      <c r="G601" s="111" t="s">
        <v>1652</v>
      </c>
      <c r="H601" s="172">
        <v>1587</v>
      </c>
      <c r="I601" s="172">
        <f t="shared" si="27"/>
        <v>1745.7</v>
      </c>
      <c r="J601" s="111"/>
      <c r="L601" s="41">
        <f>VLOOKUP(E601,[3]단가!B$4:M$724,12,0)</f>
        <v>1587</v>
      </c>
      <c r="M601" s="118">
        <f t="shared" si="28"/>
        <v>0</v>
      </c>
      <c r="N601" s="481">
        <f t="shared" si="29"/>
        <v>0</v>
      </c>
    </row>
    <row r="602" spans="1:14">
      <c r="A602" s="111">
        <v>599</v>
      </c>
      <c r="B602" s="111" t="s">
        <v>1651</v>
      </c>
      <c r="C602" s="111" t="s">
        <v>1654</v>
      </c>
      <c r="D602" s="111" t="s">
        <v>1530</v>
      </c>
      <c r="E602" s="111" t="s">
        <v>1655</v>
      </c>
      <c r="F602" s="111" t="s">
        <v>1654</v>
      </c>
      <c r="G602" s="111"/>
      <c r="H602" s="172">
        <v>84516</v>
      </c>
      <c r="I602" s="172">
        <f t="shared" si="27"/>
        <v>92967.6</v>
      </c>
      <c r="J602" s="111"/>
      <c r="L602" s="41">
        <f>VLOOKUP(E602,[3]단가!B$4:M$724,12,0)</f>
        <v>84516</v>
      </c>
      <c r="M602" s="118">
        <f t="shared" si="28"/>
        <v>0</v>
      </c>
      <c r="N602" s="481">
        <f t="shared" si="29"/>
        <v>0</v>
      </c>
    </row>
    <row r="603" spans="1:14">
      <c r="A603" s="111">
        <v>600</v>
      </c>
      <c r="B603" s="111" t="s">
        <v>1644</v>
      </c>
      <c r="C603" s="111" t="s">
        <v>1656</v>
      </c>
      <c r="D603" s="111" t="s">
        <v>1530</v>
      </c>
      <c r="E603" s="111">
        <v>281100445</v>
      </c>
      <c r="F603" s="111" t="s">
        <v>1657</v>
      </c>
      <c r="G603" s="111"/>
      <c r="H603" s="172">
        <v>25202</v>
      </c>
      <c r="I603" s="172">
        <f t="shared" si="27"/>
        <v>27722.2</v>
      </c>
      <c r="J603" s="111"/>
      <c r="L603" s="41">
        <f>VLOOKUP(E603,[3]단가!B$4:M$724,12,0)</f>
        <v>25202</v>
      </c>
      <c r="M603" s="118">
        <f t="shared" si="28"/>
        <v>0</v>
      </c>
      <c r="N603" s="481">
        <f t="shared" si="29"/>
        <v>0</v>
      </c>
    </row>
    <row r="604" spans="1:14">
      <c r="A604" s="111">
        <v>601</v>
      </c>
      <c r="B604" s="111" t="s">
        <v>1651</v>
      </c>
      <c r="C604" s="111" t="s">
        <v>1658</v>
      </c>
      <c r="D604" s="111" t="s">
        <v>1530</v>
      </c>
      <c r="E604" s="111" t="s">
        <v>1659</v>
      </c>
      <c r="F604" s="111" t="s">
        <v>1658</v>
      </c>
      <c r="G604" s="111"/>
      <c r="H604" s="172">
        <v>126208</v>
      </c>
      <c r="I604" s="172">
        <f t="shared" si="27"/>
        <v>138828.80000000002</v>
      </c>
      <c r="J604" s="111"/>
      <c r="L604" s="41">
        <f>VLOOKUP(E604,[3]단가!B$4:M$724,12,0)</f>
        <v>126208</v>
      </c>
      <c r="M604" s="118">
        <f t="shared" si="28"/>
        <v>0</v>
      </c>
      <c r="N604" s="481">
        <f t="shared" si="29"/>
        <v>0</v>
      </c>
    </row>
    <row r="605" spans="1:14">
      <c r="A605" s="111">
        <v>602</v>
      </c>
      <c r="B605" s="111" t="s">
        <v>1651</v>
      </c>
      <c r="C605" s="111" t="s">
        <v>1660</v>
      </c>
      <c r="D605" s="111" t="s">
        <v>1530</v>
      </c>
      <c r="E605" s="111" t="s">
        <v>1661</v>
      </c>
      <c r="F605" s="111" t="s">
        <v>1660</v>
      </c>
      <c r="G605" s="111"/>
      <c r="H605" s="172">
        <v>24857</v>
      </c>
      <c r="I605" s="172">
        <f t="shared" si="27"/>
        <v>27342.7</v>
      </c>
      <c r="J605" s="111"/>
      <c r="L605" s="41">
        <f>VLOOKUP(E605,[3]단가!B$4:M$724,12,0)</f>
        <v>24857</v>
      </c>
      <c r="M605" s="118">
        <f t="shared" si="28"/>
        <v>0</v>
      </c>
      <c r="N605" s="481">
        <f t="shared" si="29"/>
        <v>0</v>
      </c>
    </row>
    <row r="606" spans="1:14">
      <c r="A606" s="111">
        <v>603</v>
      </c>
      <c r="B606" s="111" t="s">
        <v>1651</v>
      </c>
      <c r="C606" s="111" t="s">
        <v>1662</v>
      </c>
      <c r="D606" s="111" t="s">
        <v>1530</v>
      </c>
      <c r="E606" s="111" t="s">
        <v>1663</v>
      </c>
      <c r="F606" s="111" t="s">
        <v>1662</v>
      </c>
      <c r="G606" s="111"/>
      <c r="H606" s="172">
        <v>54484</v>
      </c>
      <c r="I606" s="172">
        <f t="shared" si="27"/>
        <v>59932.4</v>
      </c>
      <c r="J606" s="111"/>
      <c r="L606" s="41">
        <f>VLOOKUP(E606,[3]단가!B$4:M$724,12,0)</f>
        <v>54484</v>
      </c>
      <c r="M606" s="118">
        <f t="shared" si="28"/>
        <v>0</v>
      </c>
      <c r="N606" s="481">
        <f t="shared" si="29"/>
        <v>0</v>
      </c>
    </row>
    <row r="607" spans="1:14">
      <c r="A607" s="111">
        <v>604</v>
      </c>
      <c r="B607" s="111" t="s">
        <v>1651</v>
      </c>
      <c r="C607" s="111" t="s">
        <v>1662</v>
      </c>
      <c r="D607" s="111" t="s">
        <v>1530</v>
      </c>
      <c r="E607" s="111" t="s">
        <v>1664</v>
      </c>
      <c r="F607" s="111" t="s">
        <v>1662</v>
      </c>
      <c r="G607" s="111"/>
      <c r="H607" s="172">
        <v>60827</v>
      </c>
      <c r="I607" s="172">
        <f t="shared" si="27"/>
        <v>66909.700000000012</v>
      </c>
      <c r="J607" s="111"/>
      <c r="L607" s="41">
        <f>VLOOKUP(E607,[3]단가!B$4:M$724,12,0)</f>
        <v>60827</v>
      </c>
      <c r="M607" s="118">
        <f t="shared" si="28"/>
        <v>0</v>
      </c>
      <c r="N607" s="481">
        <f t="shared" si="29"/>
        <v>0</v>
      </c>
    </row>
    <row r="608" spans="1:14">
      <c r="A608" s="111">
        <v>605</v>
      </c>
      <c r="B608" s="111" t="s">
        <v>1644</v>
      </c>
      <c r="C608" s="111" t="s">
        <v>1665</v>
      </c>
      <c r="D608" s="111" t="s">
        <v>1530</v>
      </c>
      <c r="E608" s="111">
        <v>281100501</v>
      </c>
      <c r="F608" s="111" t="s">
        <v>1665</v>
      </c>
      <c r="G608" s="111"/>
      <c r="H608" s="172">
        <v>24187</v>
      </c>
      <c r="I608" s="172">
        <f t="shared" si="27"/>
        <v>26605.7</v>
      </c>
      <c r="J608" s="111"/>
      <c r="L608" s="41">
        <f>VLOOKUP(E608,[3]단가!B$4:M$724,12,0)</f>
        <v>24187</v>
      </c>
      <c r="M608" s="118">
        <f t="shared" si="28"/>
        <v>0</v>
      </c>
      <c r="N608" s="481">
        <f t="shared" si="29"/>
        <v>0</v>
      </c>
    </row>
    <row r="609" spans="1:14">
      <c r="A609" s="111">
        <v>606</v>
      </c>
      <c r="B609" s="111" t="s">
        <v>1644</v>
      </c>
      <c r="C609" s="111" t="s">
        <v>480</v>
      </c>
      <c r="D609" s="111" t="s">
        <v>1530</v>
      </c>
      <c r="E609" s="111" t="s">
        <v>1666</v>
      </c>
      <c r="F609" s="111"/>
      <c r="G609" s="111"/>
      <c r="H609" s="172">
        <v>103530</v>
      </c>
      <c r="I609" s="172">
        <f t="shared" si="27"/>
        <v>113883.00000000001</v>
      </c>
      <c r="J609" s="111" t="s">
        <v>1354</v>
      </c>
      <c r="L609" s="41">
        <f>VLOOKUP(E609,[3]단가!B$4:M$724,12,0)</f>
        <v>103530</v>
      </c>
      <c r="M609" s="118">
        <f t="shared" si="28"/>
        <v>0</v>
      </c>
      <c r="N609" s="481">
        <f t="shared" si="29"/>
        <v>0</v>
      </c>
    </row>
    <row r="610" spans="1:14">
      <c r="A610" s="111">
        <v>607</v>
      </c>
      <c r="B610" s="111" t="s">
        <v>1644</v>
      </c>
      <c r="C610" s="111" t="s">
        <v>74</v>
      </c>
      <c r="D610" s="111" t="s">
        <v>747</v>
      </c>
      <c r="E610" s="111" t="s">
        <v>1667</v>
      </c>
      <c r="F610" s="111"/>
      <c r="G610" s="111"/>
      <c r="H610" s="172">
        <v>27522</v>
      </c>
      <c r="I610" s="172">
        <f t="shared" si="27"/>
        <v>27522</v>
      </c>
      <c r="J610" s="111"/>
      <c r="L610" s="41">
        <f>VLOOKUP(E610,[3]단가!B$4:M$724,12,0)</f>
        <v>27522</v>
      </c>
      <c r="M610" s="118">
        <f t="shared" si="28"/>
        <v>0</v>
      </c>
      <c r="N610" s="481">
        <f t="shared" si="29"/>
        <v>0</v>
      </c>
    </row>
    <row r="611" spans="1:14">
      <c r="A611" s="111">
        <v>608</v>
      </c>
      <c r="B611" s="111" t="s">
        <v>1644</v>
      </c>
      <c r="C611" s="111" t="s">
        <v>475</v>
      </c>
      <c r="D611" s="111" t="s">
        <v>747</v>
      </c>
      <c r="E611" s="111" t="s">
        <v>1668</v>
      </c>
      <c r="F611" s="111"/>
      <c r="G611" s="111"/>
      <c r="H611" s="172">
        <v>27129</v>
      </c>
      <c r="I611" s="172">
        <f t="shared" si="27"/>
        <v>27129</v>
      </c>
      <c r="J611" s="111"/>
      <c r="L611" s="41">
        <f>VLOOKUP(E611,[3]단가!B$4:M$724,12,0)</f>
        <v>27129</v>
      </c>
      <c r="M611" s="118">
        <f t="shared" si="28"/>
        <v>0</v>
      </c>
      <c r="N611" s="481">
        <f t="shared" si="29"/>
        <v>0</v>
      </c>
    </row>
    <row r="612" spans="1:14">
      <c r="A612" s="111">
        <v>609</v>
      </c>
      <c r="B612" s="111" t="s">
        <v>1651</v>
      </c>
      <c r="C612" s="111" t="s">
        <v>1669</v>
      </c>
      <c r="D612" s="111" t="s">
        <v>1530</v>
      </c>
      <c r="E612" s="111" t="s">
        <v>1670</v>
      </c>
      <c r="F612" s="111" t="s">
        <v>1671</v>
      </c>
      <c r="G612" s="111"/>
      <c r="H612" s="172">
        <v>44764</v>
      </c>
      <c r="I612" s="172">
        <f t="shared" si="27"/>
        <v>49240.4</v>
      </c>
      <c r="J612" s="111"/>
      <c r="L612" s="41">
        <f>VLOOKUP(E612,[3]단가!B$4:M$724,12,0)</f>
        <v>44764</v>
      </c>
      <c r="M612" s="118">
        <f t="shared" si="28"/>
        <v>0</v>
      </c>
      <c r="N612" s="481">
        <f t="shared" si="29"/>
        <v>0</v>
      </c>
    </row>
    <row r="613" spans="1:14">
      <c r="A613" s="111">
        <v>610</v>
      </c>
      <c r="B613" s="111" t="s">
        <v>1644</v>
      </c>
      <c r="C613" s="111" t="s">
        <v>1672</v>
      </c>
      <c r="D613" s="111" t="s">
        <v>1530</v>
      </c>
      <c r="E613" s="111">
        <v>281100377</v>
      </c>
      <c r="F613" s="111" t="s">
        <v>1672</v>
      </c>
      <c r="G613" s="111"/>
      <c r="H613" s="172">
        <v>31617</v>
      </c>
      <c r="I613" s="172">
        <f t="shared" si="27"/>
        <v>34778.700000000004</v>
      </c>
      <c r="J613" s="111"/>
      <c r="L613" s="41">
        <f>VLOOKUP(E613,[3]단가!B$4:M$724,12,0)</f>
        <v>31617</v>
      </c>
      <c r="M613" s="118">
        <f t="shared" si="28"/>
        <v>0</v>
      </c>
      <c r="N613" s="481">
        <f t="shared" si="29"/>
        <v>0</v>
      </c>
    </row>
    <row r="614" spans="1:14">
      <c r="A614" s="111">
        <v>611</v>
      </c>
      <c r="B614" s="111" t="s">
        <v>1644</v>
      </c>
      <c r="C614" s="111" t="s">
        <v>488</v>
      </c>
      <c r="D614" s="111" t="s">
        <v>1530</v>
      </c>
      <c r="E614" s="111" t="s">
        <v>1673</v>
      </c>
      <c r="F614" s="111"/>
      <c r="G614" s="111"/>
      <c r="H614" s="172">
        <v>106575</v>
      </c>
      <c r="I614" s="172">
        <f t="shared" si="27"/>
        <v>117232.50000000001</v>
      </c>
      <c r="J614" s="111" t="s">
        <v>1354</v>
      </c>
      <c r="L614" s="41">
        <f>VLOOKUP(E614,[3]단가!B$4:M$724,12,0)</f>
        <v>106575</v>
      </c>
      <c r="M614" s="118">
        <f t="shared" si="28"/>
        <v>0</v>
      </c>
      <c r="N614" s="481">
        <f t="shared" si="29"/>
        <v>0</v>
      </c>
    </row>
    <row r="615" spans="1:14">
      <c r="A615" s="111">
        <v>612</v>
      </c>
      <c r="B615" s="111" t="s">
        <v>1644</v>
      </c>
      <c r="C615" s="111" t="s">
        <v>81</v>
      </c>
      <c r="D615" s="111" t="s">
        <v>747</v>
      </c>
      <c r="E615" s="111" t="s">
        <v>1674</v>
      </c>
      <c r="F615" s="111"/>
      <c r="G615" s="111"/>
      <c r="H615" s="172">
        <v>25435</v>
      </c>
      <c r="I615" s="172">
        <f t="shared" si="27"/>
        <v>25435</v>
      </c>
      <c r="J615" s="111"/>
      <c r="L615" s="41">
        <f>VLOOKUP(E615,[3]단가!B$4:M$724,12,0)</f>
        <v>25435</v>
      </c>
      <c r="M615" s="118">
        <f t="shared" si="28"/>
        <v>0</v>
      </c>
      <c r="N615" s="481">
        <f t="shared" si="29"/>
        <v>0</v>
      </c>
    </row>
    <row r="616" spans="1:14">
      <c r="A616" s="111">
        <v>613</v>
      </c>
      <c r="B616" s="111" t="s">
        <v>1644</v>
      </c>
      <c r="C616" s="111" t="s">
        <v>483</v>
      </c>
      <c r="D616" s="111" t="s">
        <v>747</v>
      </c>
      <c r="E616" s="111" t="s">
        <v>1675</v>
      </c>
      <c r="F616" s="111"/>
      <c r="G616" s="111"/>
      <c r="H616" s="172">
        <v>27216</v>
      </c>
      <c r="I616" s="172">
        <f t="shared" si="27"/>
        <v>27216</v>
      </c>
      <c r="J616" s="111"/>
      <c r="L616" s="41">
        <f>VLOOKUP(E616,[3]단가!B$4:M$724,12,0)</f>
        <v>27216</v>
      </c>
      <c r="M616" s="118">
        <f t="shared" si="28"/>
        <v>0</v>
      </c>
      <c r="N616" s="481">
        <f t="shared" si="29"/>
        <v>0</v>
      </c>
    </row>
    <row r="617" spans="1:14">
      <c r="A617" s="111">
        <v>614</v>
      </c>
      <c r="B617" s="111" t="s">
        <v>1651</v>
      </c>
      <c r="C617" s="111" t="s">
        <v>1676</v>
      </c>
      <c r="D617" s="111" t="s">
        <v>1530</v>
      </c>
      <c r="E617" s="111" t="s">
        <v>1677</v>
      </c>
      <c r="F617" s="111" t="s">
        <v>1676</v>
      </c>
      <c r="G617" s="111"/>
      <c r="H617" s="172">
        <v>183702</v>
      </c>
      <c r="I617" s="172">
        <f t="shared" si="27"/>
        <v>202072.2</v>
      </c>
      <c r="J617" s="111"/>
      <c r="L617" s="41">
        <f>VLOOKUP(E617,[3]단가!B$4:M$724,12,0)</f>
        <v>183702</v>
      </c>
      <c r="M617" s="118">
        <f t="shared" si="28"/>
        <v>0</v>
      </c>
      <c r="N617" s="481">
        <f t="shared" si="29"/>
        <v>0</v>
      </c>
    </row>
    <row r="618" spans="1:14">
      <c r="A618" s="111">
        <v>615</v>
      </c>
      <c r="B618" s="111" t="s">
        <v>1644</v>
      </c>
      <c r="C618" s="111" t="s">
        <v>1678</v>
      </c>
      <c r="D618" s="111" t="s">
        <v>1530</v>
      </c>
      <c r="E618" s="111">
        <v>281100726</v>
      </c>
      <c r="F618" s="111" t="s">
        <v>1678</v>
      </c>
      <c r="G618" s="111"/>
      <c r="H618" s="172">
        <v>54622</v>
      </c>
      <c r="I618" s="172">
        <f t="shared" si="27"/>
        <v>60084.200000000004</v>
      </c>
      <c r="J618" s="111"/>
      <c r="L618" s="41">
        <f>VLOOKUP(E618,[3]단가!B$4:M$724,12,0)</f>
        <v>54622</v>
      </c>
      <c r="M618" s="118">
        <f t="shared" si="28"/>
        <v>0</v>
      </c>
      <c r="N618" s="481">
        <f t="shared" si="29"/>
        <v>0</v>
      </c>
    </row>
    <row r="619" spans="1:14">
      <c r="A619" s="111">
        <v>616</v>
      </c>
      <c r="B619" s="111" t="s">
        <v>1644</v>
      </c>
      <c r="C619" s="111" t="s">
        <v>504</v>
      </c>
      <c r="D619" s="111" t="s">
        <v>1530</v>
      </c>
      <c r="E619" s="111" t="s">
        <v>1679</v>
      </c>
      <c r="F619" s="111" t="s">
        <v>504</v>
      </c>
      <c r="G619" s="111"/>
      <c r="H619" s="172">
        <v>17005</v>
      </c>
      <c r="I619" s="172">
        <f t="shared" si="27"/>
        <v>18705.5</v>
      </c>
      <c r="J619" s="111"/>
      <c r="L619" s="41">
        <f>VLOOKUP(E619,[3]단가!B$4:M$724,12,0)</f>
        <v>17005</v>
      </c>
      <c r="M619" s="118">
        <f t="shared" si="28"/>
        <v>0</v>
      </c>
      <c r="N619" s="481">
        <f t="shared" si="29"/>
        <v>0</v>
      </c>
    </row>
    <row r="620" spans="1:14">
      <c r="A620" s="111">
        <v>617</v>
      </c>
      <c r="B620" s="111" t="s">
        <v>1644</v>
      </c>
      <c r="C620" s="111" t="s">
        <v>504</v>
      </c>
      <c r="D620" s="111" t="s">
        <v>747</v>
      </c>
      <c r="E620" s="111" t="s">
        <v>503</v>
      </c>
      <c r="F620" s="111"/>
      <c r="G620" s="111"/>
      <c r="H620" s="172">
        <v>17030</v>
      </c>
      <c r="I620" s="172">
        <f t="shared" si="27"/>
        <v>17030</v>
      </c>
      <c r="J620" s="111"/>
      <c r="L620" s="41">
        <f>VLOOKUP(E620,[3]단가!B$4:M$724,12,0)</f>
        <v>17030</v>
      </c>
      <c r="M620" s="118">
        <f t="shared" si="28"/>
        <v>0</v>
      </c>
      <c r="N620" s="481">
        <f t="shared" si="29"/>
        <v>0</v>
      </c>
    </row>
    <row r="621" spans="1:14">
      <c r="A621" s="111">
        <v>618</v>
      </c>
      <c r="B621" s="111" t="s">
        <v>1644</v>
      </c>
      <c r="C621" s="111" t="s">
        <v>501</v>
      </c>
      <c r="D621" s="111" t="s">
        <v>747</v>
      </c>
      <c r="E621" s="111" t="s">
        <v>1680</v>
      </c>
      <c r="F621" s="111"/>
      <c r="G621" s="111"/>
      <c r="H621" s="172">
        <v>54167</v>
      </c>
      <c r="I621" s="172">
        <f t="shared" si="27"/>
        <v>54167</v>
      </c>
      <c r="J621" s="111"/>
      <c r="L621" s="41">
        <f>VLOOKUP(E621,[3]단가!B$4:M$724,12,0)</f>
        <v>54167</v>
      </c>
      <c r="M621" s="118">
        <f t="shared" si="28"/>
        <v>0</v>
      </c>
      <c r="N621" s="481">
        <f t="shared" si="29"/>
        <v>0</v>
      </c>
    </row>
    <row r="622" spans="1:14">
      <c r="A622" s="111">
        <v>619</v>
      </c>
      <c r="B622" s="111" t="s">
        <v>1681</v>
      </c>
      <c r="C622" s="111" t="s">
        <v>1682</v>
      </c>
      <c r="D622" s="111" t="s">
        <v>747</v>
      </c>
      <c r="E622" s="111" t="s">
        <v>1683</v>
      </c>
      <c r="F622" s="111" t="s">
        <v>1682</v>
      </c>
      <c r="G622" s="111"/>
      <c r="H622" s="172">
        <v>156494</v>
      </c>
      <c r="I622" s="172">
        <f t="shared" si="27"/>
        <v>156494</v>
      </c>
      <c r="J622" s="111"/>
      <c r="L622" s="41">
        <f>VLOOKUP(E622,[3]단가!B$4:M$724,12,0)</f>
        <v>156494</v>
      </c>
      <c r="M622" s="118">
        <f t="shared" si="28"/>
        <v>0</v>
      </c>
      <c r="N622" s="481">
        <f t="shared" si="29"/>
        <v>0</v>
      </c>
    </row>
    <row r="623" spans="1:14">
      <c r="A623" s="111">
        <v>620</v>
      </c>
      <c r="B623" s="111" t="s">
        <v>1681</v>
      </c>
      <c r="C623" s="111" t="s">
        <v>207</v>
      </c>
      <c r="D623" s="111" t="s">
        <v>747</v>
      </c>
      <c r="E623" s="111" t="s">
        <v>1684</v>
      </c>
      <c r="F623" s="111" t="s">
        <v>1685</v>
      </c>
      <c r="G623" s="111"/>
      <c r="H623" s="172">
        <v>20300</v>
      </c>
      <c r="I623" s="172">
        <f t="shared" si="27"/>
        <v>20300</v>
      </c>
      <c r="J623" s="111"/>
      <c r="L623" s="41">
        <f>VLOOKUP(E623,[3]단가!B$4:M$724,12,0)</f>
        <v>20300</v>
      </c>
      <c r="M623" s="118">
        <f t="shared" si="28"/>
        <v>0</v>
      </c>
      <c r="N623" s="481">
        <f t="shared" si="29"/>
        <v>0</v>
      </c>
    </row>
    <row r="624" spans="1:14">
      <c r="A624" s="111">
        <v>621</v>
      </c>
      <c r="B624" s="111" t="s">
        <v>1681</v>
      </c>
      <c r="C624" s="111" t="s">
        <v>1686</v>
      </c>
      <c r="D624" s="111" t="s">
        <v>747</v>
      </c>
      <c r="E624" s="111" t="s">
        <v>1687</v>
      </c>
      <c r="F624" s="111" t="s">
        <v>1686</v>
      </c>
      <c r="G624" s="111"/>
      <c r="H624" s="172">
        <v>181279</v>
      </c>
      <c r="I624" s="172">
        <f t="shared" si="27"/>
        <v>181279</v>
      </c>
      <c r="J624" s="111"/>
      <c r="L624" s="41">
        <f>VLOOKUP(E624,[3]단가!B$4:M$724,12,0)</f>
        <v>181279</v>
      </c>
      <c r="M624" s="118">
        <f t="shared" si="28"/>
        <v>0</v>
      </c>
      <c r="N624" s="481">
        <f t="shared" si="29"/>
        <v>0</v>
      </c>
    </row>
    <row r="625" spans="1:14">
      <c r="A625" s="111">
        <v>622</v>
      </c>
      <c r="B625" s="111" t="s">
        <v>1681</v>
      </c>
      <c r="C625" s="111" t="s">
        <v>199</v>
      </c>
      <c r="D625" s="111" t="s">
        <v>747</v>
      </c>
      <c r="E625" s="111" t="s">
        <v>1688</v>
      </c>
      <c r="F625" s="111" t="s">
        <v>199</v>
      </c>
      <c r="G625" s="111"/>
      <c r="H625" s="172">
        <v>142100</v>
      </c>
      <c r="I625" s="172">
        <f t="shared" si="27"/>
        <v>142100</v>
      </c>
      <c r="J625" s="111"/>
      <c r="L625" s="41">
        <f>VLOOKUP(E625,[3]단가!B$4:M$724,12,0)</f>
        <v>142100</v>
      </c>
      <c r="M625" s="118">
        <f t="shared" si="28"/>
        <v>0</v>
      </c>
      <c r="N625" s="481">
        <f t="shared" si="29"/>
        <v>0</v>
      </c>
    </row>
    <row r="626" spans="1:14">
      <c r="A626" s="111">
        <v>623</v>
      </c>
      <c r="B626" s="111" t="s">
        <v>1681</v>
      </c>
      <c r="C626" s="111" t="s">
        <v>199</v>
      </c>
      <c r="D626" s="111" t="s">
        <v>747</v>
      </c>
      <c r="E626" s="111" t="s">
        <v>1689</v>
      </c>
      <c r="F626" s="111" t="s">
        <v>1690</v>
      </c>
      <c r="G626" s="111"/>
      <c r="H626" s="172">
        <v>142100</v>
      </c>
      <c r="I626" s="172">
        <f t="shared" si="27"/>
        <v>142100</v>
      </c>
      <c r="J626" s="111"/>
      <c r="L626" s="41">
        <f>VLOOKUP(E626,[3]단가!B$4:M$724,12,0)</f>
        <v>142100</v>
      </c>
      <c r="M626" s="118">
        <f t="shared" si="28"/>
        <v>0</v>
      </c>
      <c r="N626" s="481">
        <f t="shared" si="29"/>
        <v>0</v>
      </c>
    </row>
    <row r="627" spans="1:14">
      <c r="A627" s="111">
        <v>624</v>
      </c>
      <c r="B627" s="111" t="s">
        <v>1681</v>
      </c>
      <c r="C627" s="111" t="s">
        <v>199</v>
      </c>
      <c r="D627" s="111" t="s">
        <v>747</v>
      </c>
      <c r="E627" s="111" t="s">
        <v>1691</v>
      </c>
      <c r="F627" s="111" t="s">
        <v>1690</v>
      </c>
      <c r="G627" s="111"/>
      <c r="H627" s="172">
        <v>79170</v>
      </c>
      <c r="I627" s="172">
        <f t="shared" si="27"/>
        <v>79170</v>
      </c>
      <c r="J627" s="111"/>
      <c r="L627" s="41">
        <f>VLOOKUP(E627,[3]단가!B$4:M$724,12,0)</f>
        <v>79170</v>
      </c>
      <c r="M627" s="118">
        <f t="shared" si="28"/>
        <v>0</v>
      </c>
      <c r="N627" s="481">
        <f t="shared" si="29"/>
        <v>0</v>
      </c>
    </row>
    <row r="628" spans="1:14">
      <c r="A628" s="111">
        <v>625</v>
      </c>
      <c r="B628" s="111" t="s">
        <v>1681</v>
      </c>
      <c r="C628" s="111" t="s">
        <v>199</v>
      </c>
      <c r="D628" s="111" t="s">
        <v>747</v>
      </c>
      <c r="E628" s="111" t="s">
        <v>1692</v>
      </c>
      <c r="F628" s="111" t="s">
        <v>199</v>
      </c>
      <c r="G628" s="111"/>
      <c r="H628" s="172">
        <v>79170</v>
      </c>
      <c r="I628" s="172">
        <f t="shared" si="27"/>
        <v>79170</v>
      </c>
      <c r="J628" s="111"/>
      <c r="L628" s="41">
        <f>VLOOKUP(E628,[3]단가!B$4:M$724,12,0)</f>
        <v>79170</v>
      </c>
      <c r="M628" s="118">
        <f t="shared" si="28"/>
        <v>0</v>
      </c>
      <c r="N628" s="481">
        <f t="shared" si="29"/>
        <v>0</v>
      </c>
    </row>
    <row r="629" spans="1:14">
      <c r="A629" s="111">
        <v>626</v>
      </c>
      <c r="B629" s="111" t="s">
        <v>1681</v>
      </c>
      <c r="C629" s="111" t="s">
        <v>199</v>
      </c>
      <c r="D629" s="111" t="s">
        <v>747</v>
      </c>
      <c r="E629" s="111" t="s">
        <v>1693</v>
      </c>
      <c r="F629" s="111" t="s">
        <v>199</v>
      </c>
      <c r="G629" s="111"/>
      <c r="H629" s="172">
        <v>79170</v>
      </c>
      <c r="I629" s="172">
        <f t="shared" si="27"/>
        <v>79170</v>
      </c>
      <c r="J629" s="111"/>
      <c r="L629" s="41">
        <f>VLOOKUP(E629,[3]단가!B$4:M$724,12,0)</f>
        <v>79170</v>
      </c>
      <c r="M629" s="118">
        <f t="shared" si="28"/>
        <v>0</v>
      </c>
      <c r="N629" s="481">
        <f t="shared" si="29"/>
        <v>0</v>
      </c>
    </row>
    <row r="630" spans="1:14">
      <c r="A630" s="111">
        <v>627</v>
      </c>
      <c r="B630" s="111" t="s">
        <v>738</v>
      </c>
      <c r="C630" s="111" t="s">
        <v>1694</v>
      </c>
      <c r="D630" s="111" t="s">
        <v>747</v>
      </c>
      <c r="E630" s="111" t="s">
        <v>1695</v>
      </c>
      <c r="F630" s="111"/>
      <c r="G630" s="111"/>
      <c r="H630" s="172">
        <v>160979</v>
      </c>
      <c r="I630" s="172">
        <f t="shared" si="27"/>
        <v>160979</v>
      </c>
      <c r="J630" s="111"/>
      <c r="L630" s="41">
        <f>VLOOKUP(E630,[3]단가!B$4:M$724,12,0)</f>
        <v>160979</v>
      </c>
      <c r="M630" s="118">
        <f t="shared" si="28"/>
        <v>0</v>
      </c>
      <c r="N630" s="481">
        <f t="shared" si="29"/>
        <v>0</v>
      </c>
    </row>
    <row r="631" spans="1:14">
      <c r="A631" s="111">
        <v>628</v>
      </c>
      <c r="B631" s="111" t="s">
        <v>738</v>
      </c>
      <c r="C631" s="111" t="s">
        <v>1696</v>
      </c>
      <c r="D631" s="111" t="s">
        <v>747</v>
      </c>
      <c r="E631" s="111" t="s">
        <v>1697</v>
      </c>
      <c r="F631" s="111"/>
      <c r="G631" s="111"/>
      <c r="H631" s="172">
        <v>16240</v>
      </c>
      <c r="I631" s="172">
        <f t="shared" si="27"/>
        <v>16240</v>
      </c>
      <c r="J631" s="111"/>
      <c r="L631" s="41">
        <f>VLOOKUP(E631,[3]단가!B$4:M$724,12,0)</f>
        <v>16240</v>
      </c>
      <c r="M631" s="118">
        <f t="shared" si="28"/>
        <v>0</v>
      </c>
      <c r="N631" s="481">
        <f t="shared" si="29"/>
        <v>0</v>
      </c>
    </row>
    <row r="632" spans="1:14">
      <c r="A632" s="111">
        <v>629</v>
      </c>
      <c r="B632" s="111" t="s">
        <v>738</v>
      </c>
      <c r="C632" s="111" t="s">
        <v>1698</v>
      </c>
      <c r="D632" s="111" t="s">
        <v>747</v>
      </c>
      <c r="E632" s="111" t="s">
        <v>1699</v>
      </c>
      <c r="F632" s="111"/>
      <c r="G632" s="111"/>
      <c r="H632" s="172">
        <v>35017</v>
      </c>
      <c r="I632" s="172">
        <f t="shared" si="27"/>
        <v>35017</v>
      </c>
      <c r="J632" s="111"/>
      <c r="L632" s="41">
        <f>VLOOKUP(E632,[3]단가!B$4:M$724,12,0)</f>
        <v>35017</v>
      </c>
      <c r="M632" s="118">
        <f t="shared" si="28"/>
        <v>0</v>
      </c>
      <c r="N632" s="481">
        <f t="shared" si="29"/>
        <v>0</v>
      </c>
    </row>
    <row r="633" spans="1:14">
      <c r="A633" s="111">
        <v>630</v>
      </c>
      <c r="B633" s="111" t="s">
        <v>738</v>
      </c>
      <c r="C633" s="111" t="s">
        <v>1700</v>
      </c>
      <c r="D633" s="111" t="s">
        <v>747</v>
      </c>
      <c r="E633" s="111" t="s">
        <v>540</v>
      </c>
      <c r="F633" s="111"/>
      <c r="G633" s="111"/>
      <c r="H633" s="172">
        <v>24360</v>
      </c>
      <c r="I633" s="172">
        <f t="shared" si="27"/>
        <v>24360</v>
      </c>
      <c r="J633" s="111" t="s">
        <v>1701</v>
      </c>
      <c r="L633" s="41">
        <f>VLOOKUP(E633,[3]단가!B$4:M$724,12,0)</f>
        <v>24360</v>
      </c>
      <c r="M633" s="118">
        <f t="shared" si="28"/>
        <v>0</v>
      </c>
      <c r="N633" s="481">
        <f t="shared" si="29"/>
        <v>0</v>
      </c>
    </row>
    <row r="634" spans="1:14">
      <c r="A634" s="111">
        <v>631</v>
      </c>
      <c r="B634" s="111" t="s">
        <v>738</v>
      </c>
      <c r="C634" s="111" t="s">
        <v>1702</v>
      </c>
      <c r="D634" s="111" t="s">
        <v>747</v>
      </c>
      <c r="E634" s="111" t="s">
        <v>1703</v>
      </c>
      <c r="F634" s="111"/>
      <c r="G634" s="111"/>
      <c r="H634" s="172">
        <v>38570</v>
      </c>
      <c r="I634" s="172">
        <f t="shared" si="27"/>
        <v>38570</v>
      </c>
      <c r="J634" s="111"/>
      <c r="L634" s="41">
        <f>VLOOKUP(E634,[3]단가!B$4:M$724,12,0)</f>
        <v>38570</v>
      </c>
      <c r="M634" s="118">
        <f t="shared" si="28"/>
        <v>0</v>
      </c>
      <c r="N634" s="481">
        <f t="shared" si="29"/>
        <v>0</v>
      </c>
    </row>
    <row r="635" spans="1:14">
      <c r="A635" s="111">
        <v>632</v>
      </c>
      <c r="B635" s="111" t="s">
        <v>738</v>
      </c>
      <c r="C635" s="111" t="s">
        <v>1704</v>
      </c>
      <c r="D635" s="111" t="s">
        <v>747</v>
      </c>
      <c r="E635" s="111" t="s">
        <v>1705</v>
      </c>
      <c r="F635" s="111"/>
      <c r="G635" s="111"/>
      <c r="H635" s="172">
        <v>6090</v>
      </c>
      <c r="I635" s="172">
        <f t="shared" si="27"/>
        <v>6090</v>
      </c>
      <c r="J635" s="111"/>
      <c r="L635" s="41">
        <f>VLOOKUP(E635,[3]단가!B$4:M$724,12,0)</f>
        <v>6090</v>
      </c>
      <c r="M635" s="118">
        <f t="shared" si="28"/>
        <v>0</v>
      </c>
      <c r="N635" s="481">
        <f t="shared" si="29"/>
        <v>0</v>
      </c>
    </row>
    <row r="636" spans="1:14">
      <c r="A636" s="111">
        <v>633</v>
      </c>
      <c r="B636" s="111" t="s">
        <v>738</v>
      </c>
      <c r="C636" s="111" t="s">
        <v>1706</v>
      </c>
      <c r="D636" s="111" t="s">
        <v>747</v>
      </c>
      <c r="E636" s="111" t="s">
        <v>1707</v>
      </c>
      <c r="F636" s="111"/>
      <c r="G636" s="111"/>
      <c r="H636" s="172">
        <v>7344</v>
      </c>
      <c r="I636" s="172">
        <f t="shared" si="27"/>
        <v>7344</v>
      </c>
      <c r="J636" s="111"/>
      <c r="L636" s="41">
        <f>VLOOKUP(E636,[3]단가!B$4:M$724,12,0)</f>
        <v>7344</v>
      </c>
      <c r="M636" s="118">
        <f t="shared" si="28"/>
        <v>0</v>
      </c>
      <c r="N636" s="481">
        <f t="shared" si="29"/>
        <v>0</v>
      </c>
    </row>
    <row r="637" spans="1:14">
      <c r="A637" s="111">
        <v>634</v>
      </c>
      <c r="B637" s="111" t="s">
        <v>738</v>
      </c>
      <c r="C637" s="111" t="s">
        <v>1349</v>
      </c>
      <c r="D637" s="111" t="s">
        <v>747</v>
      </c>
      <c r="E637" s="111" t="s">
        <v>1708</v>
      </c>
      <c r="F637" s="111"/>
      <c r="G637" s="111"/>
      <c r="H637" s="172">
        <v>12992</v>
      </c>
      <c r="I637" s="172">
        <f t="shared" si="27"/>
        <v>12992</v>
      </c>
      <c r="J637" s="111"/>
      <c r="L637" s="41">
        <f>VLOOKUP(E637,[3]단가!B$4:M$724,12,0)</f>
        <v>12992</v>
      </c>
      <c r="M637" s="118">
        <f t="shared" si="28"/>
        <v>0</v>
      </c>
      <c r="N637" s="481">
        <f t="shared" si="29"/>
        <v>0</v>
      </c>
    </row>
    <row r="638" spans="1:14">
      <c r="A638" s="111">
        <v>635</v>
      </c>
      <c r="B638" s="111" t="s">
        <v>738</v>
      </c>
      <c r="C638" s="111" t="s">
        <v>214</v>
      </c>
      <c r="D638" s="111" t="s">
        <v>747</v>
      </c>
      <c r="E638" s="111" t="s">
        <v>1709</v>
      </c>
      <c r="F638" s="111"/>
      <c r="G638" s="111"/>
      <c r="H638" s="172">
        <v>402508</v>
      </c>
      <c r="I638" s="172">
        <f t="shared" si="27"/>
        <v>402508</v>
      </c>
      <c r="J638" s="111"/>
      <c r="L638" s="41">
        <f>VLOOKUP(E638,[3]단가!B$4:M$724,12,0)</f>
        <v>402508</v>
      </c>
      <c r="M638" s="118">
        <f t="shared" si="28"/>
        <v>0</v>
      </c>
      <c r="N638" s="481">
        <f t="shared" si="29"/>
        <v>0</v>
      </c>
    </row>
    <row r="639" spans="1:14">
      <c r="A639" s="111">
        <v>636</v>
      </c>
      <c r="B639" s="111" t="s">
        <v>738</v>
      </c>
      <c r="C639" s="111" t="s">
        <v>1710</v>
      </c>
      <c r="D639" s="111" t="s">
        <v>747</v>
      </c>
      <c r="E639" s="111" t="s">
        <v>1711</v>
      </c>
      <c r="F639" s="111"/>
      <c r="G639" s="111"/>
      <c r="H639" s="172">
        <v>2306</v>
      </c>
      <c r="I639" s="172">
        <f t="shared" si="27"/>
        <v>2306</v>
      </c>
      <c r="J639" s="111"/>
      <c r="L639" s="41">
        <f>VLOOKUP(E639,[3]단가!B$4:M$724,12,0)</f>
        <v>2306</v>
      </c>
      <c r="M639" s="118">
        <f t="shared" si="28"/>
        <v>0</v>
      </c>
      <c r="N639" s="481">
        <f t="shared" si="29"/>
        <v>0</v>
      </c>
    </row>
    <row r="640" spans="1:14">
      <c r="A640" s="111">
        <v>637</v>
      </c>
      <c r="B640" s="111" t="s">
        <v>738</v>
      </c>
      <c r="C640" s="111" t="s">
        <v>1712</v>
      </c>
      <c r="D640" s="111" t="s">
        <v>747</v>
      </c>
      <c r="E640" s="111" t="s">
        <v>1713</v>
      </c>
      <c r="F640" s="111"/>
      <c r="G640" s="111"/>
      <c r="H640" s="172">
        <v>60900</v>
      </c>
      <c r="I640" s="172">
        <f t="shared" si="27"/>
        <v>60900</v>
      </c>
      <c r="J640" s="111"/>
      <c r="L640" s="41">
        <f>VLOOKUP(E640,[3]단가!B$4:M$724,12,0)</f>
        <v>60900</v>
      </c>
      <c r="M640" s="118">
        <f t="shared" si="28"/>
        <v>0</v>
      </c>
      <c r="N640" s="481">
        <f t="shared" si="29"/>
        <v>0</v>
      </c>
    </row>
    <row r="641" spans="1:14">
      <c r="A641" s="111">
        <v>638</v>
      </c>
      <c r="B641" s="111" t="s">
        <v>738</v>
      </c>
      <c r="C641" s="111" t="s">
        <v>1714</v>
      </c>
      <c r="D641" s="111" t="s">
        <v>1530</v>
      </c>
      <c r="E641" s="111" t="s">
        <v>1715</v>
      </c>
      <c r="F641" s="111"/>
      <c r="G641" s="111"/>
      <c r="H641" s="172">
        <v>88824</v>
      </c>
      <c r="I641" s="172">
        <f t="shared" si="27"/>
        <v>97706.400000000009</v>
      </c>
      <c r="J641" s="111" t="s">
        <v>1716</v>
      </c>
      <c r="L641" s="41">
        <f>VLOOKUP(E641,[3]단가!B$4:M$724,12,0)</f>
        <v>88824</v>
      </c>
      <c r="M641" s="118">
        <f t="shared" si="28"/>
        <v>0</v>
      </c>
      <c r="N641" s="481">
        <f t="shared" si="29"/>
        <v>0</v>
      </c>
    </row>
    <row r="642" spans="1:14">
      <c r="A642" s="111">
        <v>639</v>
      </c>
      <c r="B642" s="111" t="s">
        <v>738</v>
      </c>
      <c r="C642" s="111" t="s">
        <v>1344</v>
      </c>
      <c r="D642" s="111" t="s">
        <v>1530</v>
      </c>
      <c r="E642" s="111" t="s">
        <v>1717</v>
      </c>
      <c r="F642" s="111"/>
      <c r="G642" s="111"/>
      <c r="H642" s="172">
        <v>11165</v>
      </c>
      <c r="I642" s="172">
        <f t="shared" si="27"/>
        <v>12281.500000000002</v>
      </c>
      <c r="J642" s="111"/>
      <c r="L642" s="41">
        <f>VLOOKUP(E642,[3]단가!B$4:M$724,12,0)</f>
        <v>11165</v>
      </c>
      <c r="M642" s="118">
        <f t="shared" si="28"/>
        <v>0</v>
      </c>
      <c r="N642" s="481">
        <f t="shared" si="29"/>
        <v>0</v>
      </c>
    </row>
    <row r="643" spans="1:14">
      <c r="A643" s="111">
        <v>640</v>
      </c>
      <c r="B643" s="111" t="s">
        <v>738</v>
      </c>
      <c r="C643" s="111" t="s">
        <v>1718</v>
      </c>
      <c r="D643" s="111" t="s">
        <v>1530</v>
      </c>
      <c r="E643" s="111" t="s">
        <v>506</v>
      </c>
      <c r="F643" s="316" t="s">
        <v>1719</v>
      </c>
      <c r="G643" s="111"/>
      <c r="H643" s="172">
        <v>8120</v>
      </c>
      <c r="I643" s="172">
        <f t="shared" si="27"/>
        <v>8932</v>
      </c>
      <c r="J643" s="111" t="s">
        <v>1720</v>
      </c>
      <c r="L643" s="41">
        <f>VLOOKUP(E643,[3]단가!B$4:M$724,12,0)</f>
        <v>8120</v>
      </c>
      <c r="M643" s="118">
        <f t="shared" si="28"/>
        <v>0</v>
      </c>
      <c r="N643" s="481">
        <f t="shared" si="29"/>
        <v>0</v>
      </c>
    </row>
    <row r="644" spans="1:14">
      <c r="A644" s="111">
        <v>641</v>
      </c>
      <c r="B644" s="111" t="s">
        <v>738</v>
      </c>
      <c r="C644" s="111" t="s">
        <v>1721</v>
      </c>
      <c r="D644" s="111" t="s">
        <v>1530</v>
      </c>
      <c r="E644" s="111" t="s">
        <v>509</v>
      </c>
      <c r="F644" s="316" t="s">
        <v>1721</v>
      </c>
      <c r="G644" s="111"/>
      <c r="H644" s="172">
        <v>9135</v>
      </c>
      <c r="I644" s="172">
        <f t="shared" si="27"/>
        <v>10048.5</v>
      </c>
      <c r="J644" s="111" t="s">
        <v>1720</v>
      </c>
      <c r="L644" s="41">
        <f>VLOOKUP(E644,[3]단가!B$4:M$724,12,0)</f>
        <v>9135</v>
      </c>
      <c r="M644" s="118">
        <f t="shared" si="28"/>
        <v>0</v>
      </c>
      <c r="N644" s="481">
        <f t="shared" si="29"/>
        <v>0</v>
      </c>
    </row>
    <row r="645" spans="1:14">
      <c r="A645" s="111">
        <v>642</v>
      </c>
      <c r="B645" s="111" t="s">
        <v>738</v>
      </c>
      <c r="C645" s="111" t="s">
        <v>1722</v>
      </c>
      <c r="D645" s="111" t="s">
        <v>1530</v>
      </c>
      <c r="E645" s="111" t="s">
        <v>512</v>
      </c>
      <c r="F645" s="316" t="s">
        <v>1723</v>
      </c>
      <c r="G645" s="111"/>
      <c r="H645" s="172">
        <v>73308</v>
      </c>
      <c r="I645" s="172">
        <f t="shared" ref="I645:I708" si="30">IF(D645="Y",H645*$I$3,H645*$J$3)</f>
        <v>80638.8</v>
      </c>
      <c r="J645" s="111" t="s">
        <v>1720</v>
      </c>
      <c r="L645" s="41">
        <f>VLOOKUP(E645,[3]단가!B$4:M$724,12,0)</f>
        <v>73308</v>
      </c>
      <c r="M645" s="118">
        <f t="shared" si="28"/>
        <v>0</v>
      </c>
      <c r="N645" s="481">
        <f t="shared" si="29"/>
        <v>0</v>
      </c>
    </row>
    <row r="646" spans="1:14">
      <c r="A646" s="111">
        <v>643</v>
      </c>
      <c r="B646" s="111" t="s">
        <v>1681</v>
      </c>
      <c r="C646" s="111" t="s">
        <v>1724</v>
      </c>
      <c r="D646" s="111" t="s">
        <v>1530</v>
      </c>
      <c r="E646" s="111" t="s">
        <v>515</v>
      </c>
      <c r="F646" s="316" t="s">
        <v>1725</v>
      </c>
      <c r="G646" s="111"/>
      <c r="H646" s="172">
        <v>4466</v>
      </c>
      <c r="I646" s="172">
        <f t="shared" si="30"/>
        <v>4912.6000000000004</v>
      </c>
      <c r="J646" s="111" t="s">
        <v>1720</v>
      </c>
      <c r="L646" s="41">
        <f>VLOOKUP(E646,[3]단가!B$4:M$724,12,0)</f>
        <v>4466</v>
      </c>
      <c r="M646" s="118">
        <f t="shared" ref="M646:M709" si="31">L646-H646</f>
        <v>0</v>
      </c>
      <c r="N646" s="481">
        <f t="shared" ref="N646:N709" si="32">M646/H646</f>
        <v>0</v>
      </c>
    </row>
    <row r="647" spans="1:14">
      <c r="A647" s="111">
        <v>644</v>
      </c>
      <c r="B647" s="111" t="s">
        <v>1681</v>
      </c>
      <c r="C647" s="111" t="s">
        <v>1726</v>
      </c>
      <c r="D647" s="111" t="s">
        <v>1530</v>
      </c>
      <c r="E647" s="111" t="s">
        <v>518</v>
      </c>
      <c r="F647" s="316" t="s">
        <v>1727</v>
      </c>
      <c r="G647" s="111"/>
      <c r="H647" s="172">
        <v>189805</v>
      </c>
      <c r="I647" s="172">
        <f t="shared" si="30"/>
        <v>208785.50000000003</v>
      </c>
      <c r="J647" s="111" t="s">
        <v>2427</v>
      </c>
      <c r="L647" s="41">
        <f>VLOOKUP(E647,[3]단가!B$4:M$724,12,0)</f>
        <v>189805</v>
      </c>
      <c r="M647" s="118">
        <f t="shared" si="31"/>
        <v>0</v>
      </c>
      <c r="N647" s="481">
        <f t="shared" si="32"/>
        <v>0</v>
      </c>
    </row>
    <row r="648" spans="1:14">
      <c r="A648" s="111">
        <v>645</v>
      </c>
      <c r="B648" s="111" t="s">
        <v>1681</v>
      </c>
      <c r="C648" s="111" t="s">
        <v>1728</v>
      </c>
      <c r="D648" s="111" t="s">
        <v>747</v>
      </c>
      <c r="E648" s="111" t="s">
        <v>542</v>
      </c>
      <c r="F648" s="316"/>
      <c r="G648" s="111"/>
      <c r="H648" s="172">
        <v>93775</v>
      </c>
      <c r="I648" s="172">
        <f t="shared" si="30"/>
        <v>93775</v>
      </c>
      <c r="J648" s="111" t="s">
        <v>1729</v>
      </c>
      <c r="L648" s="41">
        <f>VLOOKUP(E648,[3]단가!B$4:M$724,12,0)</f>
        <v>93775</v>
      </c>
      <c r="M648" s="118">
        <f t="shared" si="31"/>
        <v>0</v>
      </c>
      <c r="N648" s="481">
        <f t="shared" si="32"/>
        <v>0</v>
      </c>
    </row>
    <row r="649" spans="1:14">
      <c r="A649" s="111">
        <v>646</v>
      </c>
      <c r="B649" s="111" t="s">
        <v>1681</v>
      </c>
      <c r="C649" s="111" t="s">
        <v>532</v>
      </c>
      <c r="D649" s="111" t="s">
        <v>1530</v>
      </c>
      <c r="E649" s="111" t="s">
        <v>531</v>
      </c>
      <c r="F649" s="316"/>
      <c r="G649" s="111"/>
      <c r="H649" s="172">
        <v>35837</v>
      </c>
      <c r="I649" s="172">
        <f t="shared" si="30"/>
        <v>39420.700000000004</v>
      </c>
      <c r="J649" s="111"/>
      <c r="L649" s="41">
        <f>VLOOKUP(E649,[3]단가!B$4:M$724,12,0)</f>
        <v>35837</v>
      </c>
      <c r="M649" s="118">
        <f t="shared" si="31"/>
        <v>0</v>
      </c>
      <c r="N649" s="481">
        <f t="shared" si="32"/>
        <v>0</v>
      </c>
    </row>
    <row r="650" spans="1:14">
      <c r="A650" s="111">
        <v>647</v>
      </c>
      <c r="B650" s="111" t="s">
        <v>1681</v>
      </c>
      <c r="C650" s="111" t="s">
        <v>535</v>
      </c>
      <c r="D650" s="111" t="s">
        <v>1530</v>
      </c>
      <c r="E650" s="111" t="s">
        <v>534</v>
      </c>
      <c r="F650" s="316" t="s">
        <v>1730</v>
      </c>
      <c r="G650" s="111"/>
      <c r="H650" s="172">
        <v>0</v>
      </c>
      <c r="I650" s="172">
        <f t="shared" si="30"/>
        <v>0</v>
      </c>
      <c r="J650" s="111"/>
      <c r="L650" s="41">
        <f>VLOOKUP(E650,[3]단가!B$4:M$724,12,0)</f>
        <v>0</v>
      </c>
      <c r="M650" s="118">
        <f t="shared" si="31"/>
        <v>0</v>
      </c>
      <c r="N650" s="481" t="e">
        <f t="shared" si="32"/>
        <v>#DIV/0!</v>
      </c>
    </row>
    <row r="651" spans="1:14">
      <c r="A651" s="111">
        <v>648</v>
      </c>
      <c r="B651" s="111" t="s">
        <v>1681</v>
      </c>
      <c r="C651" s="111" t="s">
        <v>537</v>
      </c>
      <c r="D651" s="111" t="s">
        <v>1530</v>
      </c>
      <c r="E651" s="111" t="s">
        <v>536</v>
      </c>
      <c r="F651" s="316"/>
      <c r="G651" s="111"/>
      <c r="H651" s="172">
        <v>1587</v>
      </c>
      <c r="I651" s="172">
        <f t="shared" si="30"/>
        <v>1745.7</v>
      </c>
      <c r="J651" s="111"/>
      <c r="L651" s="41">
        <f>VLOOKUP(E651,[3]단가!B$4:M$724,12,0)</f>
        <v>1587</v>
      </c>
      <c r="M651" s="118">
        <f t="shared" si="31"/>
        <v>0</v>
      </c>
      <c r="N651" s="481">
        <f t="shared" si="32"/>
        <v>0</v>
      </c>
    </row>
    <row r="652" spans="1:14">
      <c r="A652" s="111">
        <v>649</v>
      </c>
      <c r="B652" s="111" t="s">
        <v>1681</v>
      </c>
      <c r="C652" s="111" t="s">
        <v>539</v>
      </c>
      <c r="D652" s="111" t="s">
        <v>1530</v>
      </c>
      <c r="E652" s="111" t="s">
        <v>538</v>
      </c>
      <c r="F652" s="316"/>
      <c r="G652" s="111"/>
      <c r="H652" s="172">
        <v>2863</v>
      </c>
      <c r="I652" s="172">
        <f t="shared" si="30"/>
        <v>3149.3</v>
      </c>
      <c r="J652" s="111"/>
      <c r="L652" s="41">
        <f>VLOOKUP(E652,[3]단가!B$4:M$724,12,0)</f>
        <v>2863</v>
      </c>
      <c r="M652" s="118">
        <f t="shared" si="31"/>
        <v>0</v>
      </c>
      <c r="N652" s="481">
        <f t="shared" si="32"/>
        <v>0</v>
      </c>
    </row>
    <row r="653" spans="1:14">
      <c r="A653" s="111">
        <v>650</v>
      </c>
      <c r="B653" s="111" t="s">
        <v>1681</v>
      </c>
      <c r="C653" s="111" t="s">
        <v>1731</v>
      </c>
      <c r="D653" s="111" t="s">
        <v>747</v>
      </c>
      <c r="E653" s="111" t="s">
        <v>1732</v>
      </c>
      <c r="F653" s="316" t="s">
        <v>1733</v>
      </c>
      <c r="G653" s="111"/>
      <c r="H653" s="172">
        <v>48790</v>
      </c>
      <c r="I653" s="172">
        <f t="shared" si="30"/>
        <v>48790</v>
      </c>
      <c r="J653" s="111"/>
      <c r="L653" s="41">
        <f>VLOOKUP(E653,[3]단가!B$4:M$724,12,0)</f>
        <v>48790</v>
      </c>
      <c r="M653" s="118">
        <f t="shared" si="31"/>
        <v>0</v>
      </c>
      <c r="N653" s="481">
        <f t="shared" si="32"/>
        <v>0</v>
      </c>
    </row>
    <row r="654" spans="1:14">
      <c r="A654" s="111">
        <v>651</v>
      </c>
      <c r="B654" s="111" t="s">
        <v>1681</v>
      </c>
      <c r="C654" s="111" t="s">
        <v>1731</v>
      </c>
      <c r="D654" s="111" t="s">
        <v>747</v>
      </c>
      <c r="E654" s="111" t="s">
        <v>1734</v>
      </c>
      <c r="F654" s="316" t="s">
        <v>1735</v>
      </c>
      <c r="G654" s="111"/>
      <c r="H654" s="172">
        <v>125930</v>
      </c>
      <c r="I654" s="172">
        <f t="shared" si="30"/>
        <v>125930</v>
      </c>
      <c r="J654" s="111"/>
      <c r="L654" s="41">
        <f>VLOOKUP(E654,[3]단가!B$4:M$724,12,0)</f>
        <v>125930</v>
      </c>
      <c r="M654" s="118">
        <f t="shared" si="31"/>
        <v>0</v>
      </c>
      <c r="N654" s="481">
        <f t="shared" si="32"/>
        <v>0</v>
      </c>
    </row>
    <row r="655" spans="1:14">
      <c r="A655" s="111">
        <v>652</v>
      </c>
      <c r="B655" s="111" t="s">
        <v>1681</v>
      </c>
      <c r="C655" s="111" t="s">
        <v>1731</v>
      </c>
      <c r="D655" s="111" t="s">
        <v>747</v>
      </c>
      <c r="E655" s="111" t="s">
        <v>1736</v>
      </c>
      <c r="F655" s="316" t="s">
        <v>1737</v>
      </c>
      <c r="G655" s="111"/>
      <c r="H655" s="172">
        <v>125930</v>
      </c>
      <c r="I655" s="172">
        <f t="shared" si="30"/>
        <v>125930</v>
      </c>
      <c r="J655" s="111"/>
      <c r="L655" s="41">
        <f>VLOOKUP(E655,[3]단가!B$4:M$724,12,0)</f>
        <v>125930</v>
      </c>
      <c r="M655" s="118">
        <f t="shared" si="31"/>
        <v>0</v>
      </c>
      <c r="N655" s="481">
        <f t="shared" si="32"/>
        <v>0</v>
      </c>
    </row>
    <row r="656" spans="1:14">
      <c r="A656" s="111">
        <v>653</v>
      </c>
      <c r="B656" s="111" t="s">
        <v>1681</v>
      </c>
      <c r="C656" s="111" t="s">
        <v>1731</v>
      </c>
      <c r="D656" s="111" t="s">
        <v>747</v>
      </c>
      <c r="E656" s="111" t="s">
        <v>1738</v>
      </c>
      <c r="F656" s="316" t="s">
        <v>112</v>
      </c>
      <c r="G656" s="111"/>
      <c r="H656" s="172">
        <v>125930</v>
      </c>
      <c r="I656" s="172">
        <f t="shared" si="30"/>
        <v>125930</v>
      </c>
      <c r="J656" s="111"/>
      <c r="L656" s="41">
        <f>VLOOKUP(E656,[3]단가!B$4:M$724,12,0)</f>
        <v>125930</v>
      </c>
      <c r="M656" s="118">
        <f t="shared" si="31"/>
        <v>0</v>
      </c>
      <c r="N656" s="481">
        <f t="shared" si="32"/>
        <v>0</v>
      </c>
    </row>
    <row r="657" spans="1:14">
      <c r="A657" s="111">
        <v>654</v>
      </c>
      <c r="B657" s="111" t="s">
        <v>1739</v>
      </c>
      <c r="C657" s="111" t="s">
        <v>1740</v>
      </c>
      <c r="D657" s="111" t="s">
        <v>1530</v>
      </c>
      <c r="E657" s="111" t="s">
        <v>1741</v>
      </c>
      <c r="F657" s="111">
        <v>30</v>
      </c>
      <c r="G657" s="111" t="s">
        <v>1310</v>
      </c>
      <c r="H657" s="172">
        <v>81969.37</v>
      </c>
      <c r="I657" s="172">
        <f t="shared" si="30"/>
        <v>90166.307000000001</v>
      </c>
      <c r="J657" s="111" t="s">
        <v>1742</v>
      </c>
      <c r="L657" s="41">
        <v>81969.37</v>
      </c>
      <c r="M657" s="118">
        <f t="shared" si="31"/>
        <v>0</v>
      </c>
      <c r="N657" s="481">
        <f t="shared" si="32"/>
        <v>0</v>
      </c>
    </row>
    <row r="658" spans="1:14">
      <c r="A658" s="111">
        <v>655</v>
      </c>
      <c r="B658" s="111" t="s">
        <v>1739</v>
      </c>
      <c r="C658" s="111" t="s">
        <v>1740</v>
      </c>
      <c r="D658" s="111" t="s">
        <v>1530</v>
      </c>
      <c r="E658" s="111" t="s">
        <v>1743</v>
      </c>
      <c r="F658" s="111">
        <v>45</v>
      </c>
      <c r="G658" s="111" t="s">
        <v>1310</v>
      </c>
      <c r="H658" s="172">
        <v>81969.37</v>
      </c>
      <c r="I658" s="172">
        <f t="shared" si="30"/>
        <v>90166.307000000001</v>
      </c>
      <c r="J658" s="111" t="s">
        <v>1742</v>
      </c>
      <c r="L658" s="41">
        <v>81969.37</v>
      </c>
      <c r="M658" s="118">
        <f t="shared" si="31"/>
        <v>0</v>
      </c>
      <c r="N658" s="481">
        <f t="shared" si="32"/>
        <v>0</v>
      </c>
    </row>
    <row r="659" spans="1:14">
      <c r="A659" s="111">
        <v>656</v>
      </c>
      <c r="B659" s="111" t="s">
        <v>1739</v>
      </c>
      <c r="C659" s="111" t="s">
        <v>1740</v>
      </c>
      <c r="D659" s="111" t="s">
        <v>1530</v>
      </c>
      <c r="E659" s="111" t="s">
        <v>1744</v>
      </c>
      <c r="F659" s="111">
        <v>60</v>
      </c>
      <c r="G659" s="111" t="s">
        <v>1310</v>
      </c>
      <c r="H659" s="172">
        <v>90672.994999999995</v>
      </c>
      <c r="I659" s="172">
        <f t="shared" si="30"/>
        <v>99740.294500000004</v>
      </c>
      <c r="J659" s="111"/>
      <c r="L659" s="41">
        <v>90672.994999999995</v>
      </c>
      <c r="M659" s="118">
        <f t="shared" si="31"/>
        <v>0</v>
      </c>
      <c r="N659" s="481">
        <f t="shared" si="32"/>
        <v>0</v>
      </c>
    </row>
    <row r="660" spans="1:14">
      <c r="A660" s="111">
        <v>657</v>
      </c>
      <c r="B660" s="111" t="s">
        <v>1739</v>
      </c>
      <c r="C660" s="111" t="s">
        <v>1740</v>
      </c>
      <c r="D660" s="111" t="s">
        <v>1530</v>
      </c>
      <c r="E660" s="111" t="s">
        <v>1745</v>
      </c>
      <c r="F660" s="111">
        <v>90</v>
      </c>
      <c r="G660" s="111" t="s">
        <v>1310</v>
      </c>
      <c r="H660" s="172">
        <v>126522.79499999998</v>
      </c>
      <c r="I660" s="172">
        <f t="shared" si="30"/>
        <v>139175.07449999999</v>
      </c>
      <c r="J660" s="111"/>
      <c r="L660" s="41">
        <v>126522.79499999998</v>
      </c>
      <c r="M660" s="118">
        <f t="shared" si="31"/>
        <v>0</v>
      </c>
      <c r="N660" s="481">
        <f t="shared" si="32"/>
        <v>0</v>
      </c>
    </row>
    <row r="661" spans="1:14">
      <c r="A661" s="111">
        <v>658</v>
      </c>
      <c r="B661" s="111" t="s">
        <v>1739</v>
      </c>
      <c r="C661" s="111" t="s">
        <v>1740</v>
      </c>
      <c r="D661" s="111" t="s">
        <v>1530</v>
      </c>
      <c r="E661" s="111" t="s">
        <v>1746</v>
      </c>
      <c r="F661" s="111">
        <v>105</v>
      </c>
      <c r="G661" s="111" t="s">
        <v>1310</v>
      </c>
      <c r="H661" s="172">
        <v>126522.79499999998</v>
      </c>
      <c r="I661" s="172">
        <f t="shared" si="30"/>
        <v>139175.07449999999</v>
      </c>
      <c r="J661" s="111"/>
      <c r="L661" s="41">
        <v>126522.79499999998</v>
      </c>
      <c r="M661" s="118">
        <f t="shared" si="31"/>
        <v>0</v>
      </c>
      <c r="N661" s="481">
        <f t="shared" si="32"/>
        <v>0</v>
      </c>
    </row>
    <row r="662" spans="1:14">
      <c r="A662" s="111">
        <v>659</v>
      </c>
      <c r="B662" s="111" t="s">
        <v>1739</v>
      </c>
      <c r="C662" s="111" t="s">
        <v>1740</v>
      </c>
      <c r="D662" s="111" t="s">
        <v>1530</v>
      </c>
      <c r="E662" s="111" t="s">
        <v>1747</v>
      </c>
      <c r="F662" s="111">
        <v>120</v>
      </c>
      <c r="G662" s="111" t="s">
        <v>1310</v>
      </c>
      <c r="H662" s="172">
        <v>190132.84499999997</v>
      </c>
      <c r="I662" s="172">
        <f t="shared" si="30"/>
        <v>209146.12949999998</v>
      </c>
      <c r="J662" s="111">
        <v>19231</v>
      </c>
      <c r="L662" s="41">
        <v>190132.84499999997</v>
      </c>
      <c r="M662" s="118">
        <f t="shared" si="31"/>
        <v>0</v>
      </c>
      <c r="N662" s="481">
        <f t="shared" si="32"/>
        <v>0</v>
      </c>
    </row>
    <row r="663" spans="1:14">
      <c r="A663" s="111">
        <v>660</v>
      </c>
      <c r="B663" s="111" t="s">
        <v>1739</v>
      </c>
      <c r="C663" s="111" t="s">
        <v>1740</v>
      </c>
      <c r="D663" s="111" t="s">
        <v>1530</v>
      </c>
      <c r="E663" s="111" t="s">
        <v>1748</v>
      </c>
      <c r="F663" s="111">
        <v>150</v>
      </c>
      <c r="G663" s="111" t="s">
        <v>1310</v>
      </c>
      <c r="H663" s="172">
        <v>190132.84499999997</v>
      </c>
      <c r="I663" s="172">
        <f t="shared" si="30"/>
        <v>209146.12949999998</v>
      </c>
      <c r="J663" s="111"/>
      <c r="L663" s="41">
        <v>190132.84499999997</v>
      </c>
      <c r="M663" s="118">
        <f t="shared" si="31"/>
        <v>0</v>
      </c>
      <c r="N663" s="481">
        <f t="shared" si="32"/>
        <v>0</v>
      </c>
    </row>
    <row r="664" spans="1:14">
      <c r="A664" s="111">
        <v>661</v>
      </c>
      <c r="B664" s="111" t="s">
        <v>1739</v>
      </c>
      <c r="C664" s="111" t="s">
        <v>1740</v>
      </c>
      <c r="D664" s="111" t="s">
        <v>1530</v>
      </c>
      <c r="E664" s="111" t="s">
        <v>1749</v>
      </c>
      <c r="F664" s="111">
        <v>180</v>
      </c>
      <c r="G664" s="111" t="s">
        <v>1310</v>
      </c>
      <c r="H664" s="172">
        <v>195110.40499999997</v>
      </c>
      <c r="I664" s="172">
        <f t="shared" si="30"/>
        <v>214621.44549999997</v>
      </c>
      <c r="J664" s="111"/>
      <c r="L664" s="41">
        <v>195110.40499999997</v>
      </c>
      <c r="M664" s="118">
        <f t="shared" si="31"/>
        <v>0</v>
      </c>
      <c r="N664" s="481">
        <f t="shared" si="32"/>
        <v>0</v>
      </c>
    </row>
    <row r="665" spans="1:14">
      <c r="A665" s="111">
        <v>662</v>
      </c>
      <c r="B665" s="111" t="s">
        <v>1739</v>
      </c>
      <c r="C665" s="111" t="s">
        <v>1740</v>
      </c>
      <c r="D665" s="111" t="s">
        <v>1530</v>
      </c>
      <c r="E665" s="111" t="s">
        <v>1750</v>
      </c>
      <c r="F665" s="111">
        <v>30</v>
      </c>
      <c r="G665" s="111" t="s">
        <v>1751</v>
      </c>
      <c r="H665" s="172">
        <v>81969.37</v>
      </c>
      <c r="I665" s="172">
        <f t="shared" si="30"/>
        <v>90166.307000000001</v>
      </c>
      <c r="J665" s="111" t="s">
        <v>1742</v>
      </c>
      <c r="L665" s="41">
        <v>81969.37</v>
      </c>
      <c r="M665" s="118">
        <f t="shared" si="31"/>
        <v>0</v>
      </c>
      <c r="N665" s="481">
        <f t="shared" si="32"/>
        <v>0</v>
      </c>
    </row>
    <row r="666" spans="1:14">
      <c r="A666" s="111">
        <v>663</v>
      </c>
      <c r="B666" s="111" t="s">
        <v>1739</v>
      </c>
      <c r="C666" s="111" t="s">
        <v>1740</v>
      </c>
      <c r="D666" s="111" t="s">
        <v>1530</v>
      </c>
      <c r="E666" s="111" t="s">
        <v>1752</v>
      </c>
      <c r="F666" s="111">
        <v>45</v>
      </c>
      <c r="G666" s="111" t="s">
        <v>1751</v>
      </c>
      <c r="H666" s="172">
        <v>81969.37</v>
      </c>
      <c r="I666" s="172">
        <f t="shared" si="30"/>
        <v>90166.307000000001</v>
      </c>
      <c r="J666" s="111" t="s">
        <v>1742</v>
      </c>
      <c r="L666" s="41">
        <v>81969.37</v>
      </c>
      <c r="M666" s="118">
        <f t="shared" si="31"/>
        <v>0</v>
      </c>
      <c r="N666" s="481">
        <f t="shared" si="32"/>
        <v>0</v>
      </c>
    </row>
    <row r="667" spans="1:14">
      <c r="A667" s="111">
        <v>664</v>
      </c>
      <c r="B667" s="111" t="s">
        <v>1739</v>
      </c>
      <c r="C667" s="111" t="s">
        <v>1740</v>
      </c>
      <c r="D667" s="111" t="s">
        <v>1530</v>
      </c>
      <c r="E667" s="111" t="s">
        <v>1753</v>
      </c>
      <c r="F667" s="111">
        <v>60</v>
      </c>
      <c r="G667" s="111" t="s">
        <v>1751</v>
      </c>
      <c r="H667" s="172">
        <v>90672.994999999995</v>
      </c>
      <c r="I667" s="172">
        <f t="shared" si="30"/>
        <v>99740.294500000004</v>
      </c>
      <c r="J667" s="111">
        <v>3453</v>
      </c>
      <c r="L667" s="41">
        <v>90672.994999999995</v>
      </c>
      <c r="M667" s="118">
        <f t="shared" si="31"/>
        <v>0</v>
      </c>
      <c r="N667" s="481">
        <f t="shared" si="32"/>
        <v>0</v>
      </c>
    </row>
    <row r="668" spans="1:14">
      <c r="A668" s="111">
        <v>665</v>
      </c>
      <c r="B668" s="111" t="s">
        <v>1739</v>
      </c>
      <c r="C668" s="111" t="s">
        <v>1740</v>
      </c>
      <c r="D668" s="111" t="s">
        <v>1530</v>
      </c>
      <c r="E668" s="111" t="s">
        <v>1754</v>
      </c>
      <c r="F668" s="111">
        <v>90</v>
      </c>
      <c r="G668" s="111" t="s">
        <v>1751</v>
      </c>
      <c r="H668" s="172">
        <v>126522.79499999998</v>
      </c>
      <c r="I668" s="172">
        <f t="shared" si="30"/>
        <v>139175.07449999999</v>
      </c>
      <c r="J668" s="111">
        <v>119942</v>
      </c>
      <c r="L668" s="41">
        <v>126522.79499999998</v>
      </c>
      <c r="M668" s="118">
        <f t="shared" si="31"/>
        <v>0</v>
      </c>
      <c r="N668" s="481">
        <f t="shared" si="32"/>
        <v>0</v>
      </c>
    </row>
    <row r="669" spans="1:14">
      <c r="A669" s="111">
        <v>666</v>
      </c>
      <c r="B669" s="111" t="s">
        <v>1739</v>
      </c>
      <c r="C669" s="111" t="s">
        <v>1740</v>
      </c>
      <c r="D669" s="111" t="s">
        <v>1530</v>
      </c>
      <c r="E669" s="111" t="s">
        <v>1755</v>
      </c>
      <c r="F669" s="111">
        <v>105</v>
      </c>
      <c r="G669" s="111" t="s">
        <v>1751</v>
      </c>
      <c r="H669" s="172">
        <v>126522.79499999998</v>
      </c>
      <c r="I669" s="172">
        <f t="shared" si="30"/>
        <v>139175.07449999999</v>
      </c>
      <c r="J669" s="111">
        <v>124814</v>
      </c>
      <c r="L669" s="41">
        <v>126522.79499999998</v>
      </c>
      <c r="M669" s="118">
        <f t="shared" si="31"/>
        <v>0</v>
      </c>
      <c r="N669" s="481">
        <f t="shared" si="32"/>
        <v>0</v>
      </c>
    </row>
    <row r="670" spans="1:14">
      <c r="A670" s="111">
        <v>667</v>
      </c>
      <c r="B670" s="111" t="s">
        <v>1739</v>
      </c>
      <c r="C670" s="111" t="s">
        <v>1740</v>
      </c>
      <c r="D670" s="111" t="s">
        <v>1530</v>
      </c>
      <c r="E670" s="111" t="s">
        <v>1756</v>
      </c>
      <c r="F670" s="111">
        <v>120</v>
      </c>
      <c r="G670" s="111" t="s">
        <v>1751</v>
      </c>
      <c r="H670" s="172">
        <v>190132.84499999997</v>
      </c>
      <c r="I670" s="172">
        <f t="shared" si="30"/>
        <v>209146.12949999998</v>
      </c>
      <c r="J670" s="111">
        <v>144045</v>
      </c>
      <c r="L670" s="41">
        <v>190132.84499999997</v>
      </c>
      <c r="M670" s="118">
        <f t="shared" si="31"/>
        <v>0</v>
      </c>
      <c r="N670" s="481">
        <f t="shared" si="32"/>
        <v>0</v>
      </c>
    </row>
    <row r="671" spans="1:14">
      <c r="A671" s="111">
        <v>668</v>
      </c>
      <c r="B671" s="111" t="s">
        <v>1739</v>
      </c>
      <c r="C671" s="111" t="s">
        <v>1740</v>
      </c>
      <c r="D671" s="111" t="s">
        <v>1530</v>
      </c>
      <c r="E671" s="111" t="s">
        <v>1757</v>
      </c>
      <c r="F671" s="111">
        <v>150</v>
      </c>
      <c r="G671" s="111" t="s">
        <v>1751</v>
      </c>
      <c r="H671" s="172">
        <v>190132.84499999997</v>
      </c>
      <c r="I671" s="172">
        <f t="shared" si="30"/>
        <v>209146.12949999998</v>
      </c>
      <c r="J671" s="111">
        <v>24103</v>
      </c>
      <c r="L671" s="41">
        <v>190132.84499999997</v>
      </c>
      <c r="M671" s="118">
        <f t="shared" si="31"/>
        <v>0</v>
      </c>
      <c r="N671" s="481">
        <f t="shared" si="32"/>
        <v>0</v>
      </c>
    </row>
    <row r="672" spans="1:14">
      <c r="A672" s="111">
        <v>669</v>
      </c>
      <c r="B672" s="111" t="s">
        <v>1739</v>
      </c>
      <c r="C672" s="111" t="s">
        <v>1740</v>
      </c>
      <c r="D672" s="111" t="s">
        <v>1530</v>
      </c>
      <c r="E672" s="111" t="s">
        <v>1758</v>
      </c>
      <c r="F672" s="111">
        <v>180</v>
      </c>
      <c r="G672" s="111" t="s">
        <v>1751</v>
      </c>
      <c r="H672" s="172">
        <v>195110.40499999997</v>
      </c>
      <c r="I672" s="172">
        <f t="shared" si="30"/>
        <v>214621.44549999997</v>
      </c>
      <c r="J672" s="111"/>
      <c r="L672" s="41">
        <v>195110.40499999997</v>
      </c>
      <c r="M672" s="118">
        <f t="shared" si="31"/>
        <v>0</v>
      </c>
      <c r="N672" s="481">
        <f t="shared" si="32"/>
        <v>0</v>
      </c>
    </row>
    <row r="673" spans="1:14">
      <c r="A673" s="111">
        <v>670</v>
      </c>
      <c r="B673" s="111" t="s">
        <v>1739</v>
      </c>
      <c r="C673" s="111" t="s">
        <v>230</v>
      </c>
      <c r="D673" s="111" t="s">
        <v>1530</v>
      </c>
      <c r="E673" s="111" t="s">
        <v>1759</v>
      </c>
      <c r="F673" s="111" t="s">
        <v>230</v>
      </c>
      <c r="G673" s="111"/>
      <c r="H673" s="172">
        <v>77447</v>
      </c>
      <c r="I673" s="172">
        <f t="shared" si="30"/>
        <v>85191.700000000012</v>
      </c>
      <c r="J673" s="111"/>
      <c r="L673" s="41">
        <f>VLOOKUP(E673,[3]단가!B$4:M$724,12,0)</f>
        <v>77447</v>
      </c>
      <c r="M673" s="118">
        <f t="shared" si="31"/>
        <v>0</v>
      </c>
      <c r="N673" s="481">
        <f t="shared" si="32"/>
        <v>0</v>
      </c>
    </row>
    <row r="674" spans="1:14">
      <c r="A674" s="111">
        <v>671</v>
      </c>
      <c r="B674" s="111" t="s">
        <v>1739</v>
      </c>
      <c r="C674" s="111" t="s">
        <v>230</v>
      </c>
      <c r="D674" s="111" t="s">
        <v>1530</v>
      </c>
      <c r="E674" s="111" t="s">
        <v>1760</v>
      </c>
      <c r="F674" s="111" t="s">
        <v>230</v>
      </c>
      <c r="G674" s="111"/>
      <c r="H674" s="172">
        <v>87205</v>
      </c>
      <c r="I674" s="172">
        <f t="shared" si="30"/>
        <v>95925.500000000015</v>
      </c>
      <c r="J674" s="111"/>
      <c r="L674" s="41">
        <f>VLOOKUP(E674,[3]단가!B$4:M$724,12,0)</f>
        <v>87205</v>
      </c>
      <c r="M674" s="118">
        <f t="shared" si="31"/>
        <v>0</v>
      </c>
      <c r="N674" s="481">
        <f t="shared" si="32"/>
        <v>0</v>
      </c>
    </row>
    <row r="675" spans="1:14">
      <c r="A675" s="111">
        <v>672</v>
      </c>
      <c r="B675" s="111" t="s">
        <v>1739</v>
      </c>
      <c r="C675" s="111" t="s">
        <v>230</v>
      </c>
      <c r="D675" s="111" t="s">
        <v>1530</v>
      </c>
      <c r="E675" s="111" t="s">
        <v>1761</v>
      </c>
      <c r="F675" s="111" t="s">
        <v>230</v>
      </c>
      <c r="G675" s="111"/>
      <c r="H675" s="172">
        <v>118150</v>
      </c>
      <c r="I675" s="172">
        <f t="shared" si="30"/>
        <v>129965.00000000001</v>
      </c>
      <c r="J675" s="111"/>
      <c r="L675" s="41">
        <f>VLOOKUP(E675,[3]단가!B$4:M$724,12,0)</f>
        <v>118150</v>
      </c>
      <c r="M675" s="118">
        <f t="shared" si="31"/>
        <v>0</v>
      </c>
      <c r="N675" s="481">
        <f t="shared" si="32"/>
        <v>0</v>
      </c>
    </row>
    <row r="676" spans="1:14">
      <c r="A676" s="111">
        <v>673</v>
      </c>
      <c r="B676" s="111" t="s">
        <v>1739</v>
      </c>
      <c r="C676" s="111" t="s">
        <v>230</v>
      </c>
      <c r="D676" s="111" t="s">
        <v>1530</v>
      </c>
      <c r="E676" s="111" t="s">
        <v>1762</v>
      </c>
      <c r="F676" s="111" t="s">
        <v>230</v>
      </c>
      <c r="G676" s="111"/>
      <c r="H676" s="172">
        <v>174593</v>
      </c>
      <c r="I676" s="172">
        <f t="shared" si="30"/>
        <v>192052.30000000002</v>
      </c>
      <c r="J676" s="111"/>
      <c r="L676" s="41">
        <f>VLOOKUP(E676,[3]단가!B$4:M$724,12,0)</f>
        <v>174593</v>
      </c>
      <c r="M676" s="118">
        <f t="shared" si="31"/>
        <v>0</v>
      </c>
      <c r="N676" s="481">
        <f t="shared" si="32"/>
        <v>0</v>
      </c>
    </row>
    <row r="677" spans="1:14">
      <c r="A677" s="111">
        <v>674</v>
      </c>
      <c r="B677" s="111" t="s">
        <v>1739</v>
      </c>
      <c r="C677" s="111" t="s">
        <v>230</v>
      </c>
      <c r="D677" s="111" t="s">
        <v>1530</v>
      </c>
      <c r="E677" s="111" t="s">
        <v>1763</v>
      </c>
      <c r="F677" s="111" t="s">
        <v>230</v>
      </c>
      <c r="G677" s="111"/>
      <c r="H677" s="172">
        <v>80050</v>
      </c>
      <c r="I677" s="172">
        <f t="shared" si="30"/>
        <v>88055</v>
      </c>
      <c r="J677" s="111"/>
      <c r="L677" s="41">
        <f>VLOOKUP(E677,[3]단가!B$4:M$724,12,0)</f>
        <v>80050</v>
      </c>
      <c r="M677" s="118">
        <f t="shared" si="31"/>
        <v>0</v>
      </c>
      <c r="N677" s="481">
        <f t="shared" si="32"/>
        <v>0</v>
      </c>
    </row>
    <row r="678" spans="1:14">
      <c r="A678" s="111">
        <v>675</v>
      </c>
      <c r="B678" s="111" t="s">
        <v>1764</v>
      </c>
      <c r="C678" s="111" t="s">
        <v>237</v>
      </c>
      <c r="D678" s="111" t="s">
        <v>1530</v>
      </c>
      <c r="E678" s="111" t="s">
        <v>236</v>
      </c>
      <c r="F678" s="111" t="s">
        <v>237</v>
      </c>
      <c r="G678" s="111"/>
      <c r="H678" s="172">
        <v>39686</v>
      </c>
      <c r="I678" s="172">
        <f t="shared" si="30"/>
        <v>43654.600000000006</v>
      </c>
      <c r="J678" s="111"/>
      <c r="L678" s="41">
        <f>VLOOKUP(E678,[3]단가!B$4:M$724,12,0)</f>
        <v>39686</v>
      </c>
      <c r="M678" s="118">
        <f t="shared" si="31"/>
        <v>0</v>
      </c>
      <c r="N678" s="481">
        <f t="shared" si="32"/>
        <v>0</v>
      </c>
    </row>
    <row r="679" spans="1:14">
      <c r="A679" s="111">
        <v>676</v>
      </c>
      <c r="B679" s="111" t="s">
        <v>1764</v>
      </c>
      <c r="C679" s="111" t="s">
        <v>237</v>
      </c>
      <c r="D679" s="111" t="s">
        <v>1530</v>
      </c>
      <c r="E679" s="111" t="s">
        <v>1765</v>
      </c>
      <c r="F679" s="111" t="s">
        <v>237</v>
      </c>
      <c r="G679" s="111"/>
      <c r="H679" s="172">
        <v>95364</v>
      </c>
      <c r="I679" s="172">
        <f t="shared" si="30"/>
        <v>104900.40000000001</v>
      </c>
      <c r="J679" s="111"/>
      <c r="L679" s="41">
        <f>VLOOKUP(E679,[3]단가!B$4:M$724,12,0)</f>
        <v>95364</v>
      </c>
      <c r="M679" s="118">
        <f t="shared" si="31"/>
        <v>0</v>
      </c>
      <c r="N679" s="481">
        <f t="shared" si="32"/>
        <v>0</v>
      </c>
    </row>
    <row r="680" spans="1:14">
      <c r="A680" s="111">
        <v>677</v>
      </c>
      <c r="B680" s="111" t="s">
        <v>1764</v>
      </c>
      <c r="C680" s="111" t="s">
        <v>244</v>
      </c>
      <c r="D680" s="111" t="s">
        <v>1530</v>
      </c>
      <c r="E680" s="111" t="s">
        <v>1766</v>
      </c>
      <c r="F680" s="111" t="s">
        <v>244</v>
      </c>
      <c r="G680" s="111"/>
      <c r="H680" s="172">
        <v>3082</v>
      </c>
      <c r="I680" s="172">
        <f t="shared" si="30"/>
        <v>3390.2000000000003</v>
      </c>
      <c r="J680" s="111"/>
      <c r="L680" s="41">
        <f>VLOOKUP(E680,[3]단가!B$4:M$724,12,0)</f>
        <v>3082</v>
      </c>
      <c r="M680" s="118">
        <f t="shared" si="31"/>
        <v>0</v>
      </c>
      <c r="N680" s="481">
        <f t="shared" si="32"/>
        <v>0</v>
      </c>
    </row>
    <row r="681" spans="1:14">
      <c r="A681" s="111">
        <v>678</v>
      </c>
      <c r="B681" s="111" t="s">
        <v>1764</v>
      </c>
      <c r="C681" s="111" t="s">
        <v>244</v>
      </c>
      <c r="D681" s="111" t="s">
        <v>1530</v>
      </c>
      <c r="E681" s="111" t="s">
        <v>1767</v>
      </c>
      <c r="F681" s="111" t="s">
        <v>244</v>
      </c>
      <c r="G681" s="111"/>
      <c r="H681" s="172">
        <v>3453</v>
      </c>
      <c r="I681" s="172">
        <f t="shared" si="30"/>
        <v>3798.3</v>
      </c>
      <c r="J681" s="111"/>
      <c r="L681" s="41">
        <f>VLOOKUP(E681,[3]단가!B$4:M$724,12,0)</f>
        <v>3453</v>
      </c>
      <c r="M681" s="118">
        <f t="shared" si="31"/>
        <v>0</v>
      </c>
      <c r="N681" s="481">
        <f t="shared" si="32"/>
        <v>0</v>
      </c>
    </row>
    <row r="682" spans="1:14">
      <c r="A682" s="111">
        <v>679</v>
      </c>
      <c r="B682" s="111" t="s">
        <v>1768</v>
      </c>
      <c r="C682" s="111" t="s">
        <v>252</v>
      </c>
      <c r="D682" s="111" t="s">
        <v>1530</v>
      </c>
      <c r="E682" s="111" t="s">
        <v>1769</v>
      </c>
      <c r="F682" s="111" t="s">
        <v>252</v>
      </c>
      <c r="G682" s="111"/>
      <c r="H682" s="172">
        <v>733</v>
      </c>
      <c r="I682" s="172">
        <f t="shared" si="30"/>
        <v>806.30000000000007</v>
      </c>
      <c r="J682" s="111"/>
      <c r="L682" s="41">
        <f>VLOOKUP(E682,[3]단가!B$4:M$724,12,0)</f>
        <v>733</v>
      </c>
      <c r="M682" s="118">
        <f t="shared" si="31"/>
        <v>0</v>
      </c>
      <c r="N682" s="481">
        <f t="shared" si="32"/>
        <v>0</v>
      </c>
    </row>
    <row r="683" spans="1:14">
      <c r="A683" s="111">
        <v>680</v>
      </c>
      <c r="B683" s="111" t="s">
        <v>1768</v>
      </c>
      <c r="C683" s="111" t="s">
        <v>1710</v>
      </c>
      <c r="D683" s="111" t="s">
        <v>747</v>
      </c>
      <c r="E683" s="111" t="s">
        <v>1770</v>
      </c>
      <c r="F683" s="111" t="s">
        <v>1710</v>
      </c>
      <c r="G683" s="111"/>
      <c r="H683" s="172">
        <v>2306</v>
      </c>
      <c r="I683" s="172">
        <f t="shared" si="30"/>
        <v>2306</v>
      </c>
      <c r="J683" s="111"/>
      <c r="L683" s="41">
        <f>VLOOKUP(E683,[3]단가!B$4:M$724,12,0)</f>
        <v>2306</v>
      </c>
      <c r="M683" s="118">
        <f t="shared" si="31"/>
        <v>0</v>
      </c>
      <c r="N683" s="481">
        <f t="shared" si="32"/>
        <v>0</v>
      </c>
    </row>
    <row r="684" spans="1:14">
      <c r="A684" s="111">
        <v>681</v>
      </c>
      <c r="B684" s="111" t="s">
        <v>1768</v>
      </c>
      <c r="C684" s="111" t="s">
        <v>190</v>
      </c>
      <c r="D684" s="111" t="s">
        <v>747</v>
      </c>
      <c r="E684" s="111" t="s">
        <v>1771</v>
      </c>
      <c r="F684" s="111" t="s">
        <v>190</v>
      </c>
      <c r="G684" s="111"/>
      <c r="H684" s="172">
        <v>12768</v>
      </c>
      <c r="I684" s="172">
        <f t="shared" si="30"/>
        <v>12768</v>
      </c>
      <c r="J684" s="111"/>
      <c r="L684" s="41">
        <f>VLOOKUP(E684,[3]단가!B$4:M$724,12,0)</f>
        <v>12768</v>
      </c>
      <c r="M684" s="118">
        <f t="shared" si="31"/>
        <v>0</v>
      </c>
      <c r="N684" s="481">
        <f t="shared" si="32"/>
        <v>0</v>
      </c>
    </row>
    <row r="685" spans="1:14">
      <c r="A685" s="111">
        <v>682</v>
      </c>
      <c r="B685" s="111" t="s">
        <v>1768</v>
      </c>
      <c r="C685" s="111" t="s">
        <v>392</v>
      </c>
      <c r="D685" s="111" t="s">
        <v>1530</v>
      </c>
      <c r="E685" s="111" t="s">
        <v>391</v>
      </c>
      <c r="F685" s="111" t="s">
        <v>392</v>
      </c>
      <c r="G685" s="111"/>
      <c r="H685" s="172">
        <v>18270</v>
      </c>
      <c r="I685" s="172">
        <f t="shared" si="30"/>
        <v>20097</v>
      </c>
      <c r="J685" s="111"/>
      <c r="L685" s="41">
        <f>VLOOKUP(E685,[3]단가!B$4:M$724,12,0)</f>
        <v>18270</v>
      </c>
      <c r="M685" s="118">
        <f t="shared" si="31"/>
        <v>0</v>
      </c>
      <c r="N685" s="481">
        <f t="shared" si="32"/>
        <v>0</v>
      </c>
    </row>
    <row r="686" spans="1:14">
      <c r="A686" s="111">
        <v>683</v>
      </c>
      <c r="B686" s="111" t="s">
        <v>1768</v>
      </c>
      <c r="C686" s="111" t="s">
        <v>407</v>
      </c>
      <c r="D686" s="111" t="s">
        <v>1530</v>
      </c>
      <c r="E686" s="111" t="s">
        <v>406</v>
      </c>
      <c r="F686" s="111" t="s">
        <v>407</v>
      </c>
      <c r="G686" s="111"/>
      <c r="H686" s="172">
        <v>5582</v>
      </c>
      <c r="I686" s="172">
        <f t="shared" si="30"/>
        <v>6140.2000000000007</v>
      </c>
      <c r="J686" s="111"/>
      <c r="L686" s="41">
        <f>VLOOKUP(E686,[3]단가!B$4:M$724,12,0)</f>
        <v>5582</v>
      </c>
      <c r="M686" s="118">
        <f t="shared" si="31"/>
        <v>0</v>
      </c>
      <c r="N686" s="481">
        <f t="shared" si="32"/>
        <v>0</v>
      </c>
    </row>
    <row r="687" spans="1:14">
      <c r="A687" s="111">
        <v>684</v>
      </c>
      <c r="B687" s="111" t="s">
        <v>1768</v>
      </c>
      <c r="C687" s="111" t="s">
        <v>413</v>
      </c>
      <c r="D687" s="111" t="s">
        <v>1530</v>
      </c>
      <c r="E687" s="111" t="s">
        <v>424</v>
      </c>
      <c r="F687" s="111" t="s">
        <v>413</v>
      </c>
      <c r="G687" s="111"/>
      <c r="H687" s="172">
        <v>11114</v>
      </c>
      <c r="I687" s="172">
        <f t="shared" si="30"/>
        <v>12225.400000000001</v>
      </c>
      <c r="J687" s="111"/>
      <c r="L687" s="41">
        <f>VLOOKUP(E687,[3]단가!B$4:M$724,12,0)</f>
        <v>11114</v>
      </c>
      <c r="M687" s="118">
        <f t="shared" si="31"/>
        <v>0</v>
      </c>
      <c r="N687" s="481">
        <f t="shared" si="32"/>
        <v>0</v>
      </c>
    </row>
    <row r="688" spans="1:14">
      <c r="A688" s="111">
        <v>685</v>
      </c>
      <c r="B688" s="111" t="s">
        <v>1768</v>
      </c>
      <c r="C688" s="111" t="s">
        <v>413</v>
      </c>
      <c r="D688" s="111" t="s">
        <v>1530</v>
      </c>
      <c r="E688" s="111" t="s">
        <v>607</v>
      </c>
      <c r="F688" s="111" t="s">
        <v>413</v>
      </c>
      <c r="G688" s="111"/>
      <c r="H688" s="172">
        <v>11114</v>
      </c>
      <c r="I688" s="172">
        <f t="shared" si="30"/>
        <v>12225.400000000001</v>
      </c>
      <c r="J688" s="111"/>
      <c r="L688" s="41">
        <f>VLOOKUP(E688,[3]단가!B$4:M$724,12,0)</f>
        <v>11114</v>
      </c>
      <c r="M688" s="118">
        <f t="shared" si="31"/>
        <v>0</v>
      </c>
      <c r="N688" s="481">
        <f t="shared" si="32"/>
        <v>0</v>
      </c>
    </row>
    <row r="689" spans="1:14">
      <c r="A689" s="111">
        <v>686</v>
      </c>
      <c r="B689" s="111" t="s">
        <v>1768</v>
      </c>
      <c r="C689" s="111" t="s">
        <v>413</v>
      </c>
      <c r="D689" s="111" t="s">
        <v>1530</v>
      </c>
      <c r="E689" s="111" t="s">
        <v>412</v>
      </c>
      <c r="F689" s="111" t="s">
        <v>413</v>
      </c>
      <c r="G689" s="111"/>
      <c r="H689" s="172">
        <v>10911</v>
      </c>
      <c r="I689" s="172">
        <f t="shared" si="30"/>
        <v>12002.1</v>
      </c>
      <c r="J689" s="111"/>
      <c r="L689" s="41">
        <f>VLOOKUP(E689,[3]단가!B$4:M$724,12,0)</f>
        <v>10911</v>
      </c>
      <c r="M689" s="118">
        <f t="shared" si="31"/>
        <v>0</v>
      </c>
      <c r="N689" s="481">
        <f t="shared" si="32"/>
        <v>0</v>
      </c>
    </row>
    <row r="690" spans="1:14">
      <c r="A690" s="111">
        <v>687</v>
      </c>
      <c r="B690" s="111" t="s">
        <v>1768</v>
      </c>
      <c r="C690" s="111" t="s">
        <v>399</v>
      </c>
      <c r="D690" s="111" t="s">
        <v>1530</v>
      </c>
      <c r="E690" s="111" t="s">
        <v>1772</v>
      </c>
      <c r="F690" s="111" t="s">
        <v>403</v>
      </c>
      <c r="G690" s="111"/>
      <c r="H690" s="172">
        <v>2557</v>
      </c>
      <c r="I690" s="172">
        <f t="shared" si="30"/>
        <v>2812.7000000000003</v>
      </c>
      <c r="J690" s="111"/>
      <c r="L690" s="41">
        <f>VLOOKUP(E690,[3]단가!B$4:M$724,12,0)</f>
        <v>2557</v>
      </c>
      <c r="M690" s="118">
        <f t="shared" si="31"/>
        <v>0</v>
      </c>
      <c r="N690" s="481">
        <f t="shared" si="32"/>
        <v>0</v>
      </c>
    </row>
    <row r="691" spans="1:14">
      <c r="A691" s="111">
        <v>688</v>
      </c>
      <c r="B691" s="111" t="s">
        <v>1768</v>
      </c>
      <c r="C691" s="111" t="s">
        <v>399</v>
      </c>
      <c r="D691" s="111" t="s">
        <v>1530</v>
      </c>
      <c r="E691" s="111" t="s">
        <v>1773</v>
      </c>
      <c r="F691" s="111" t="s">
        <v>399</v>
      </c>
      <c r="G691" s="111"/>
      <c r="H691" s="172">
        <v>6293</v>
      </c>
      <c r="I691" s="172">
        <f t="shared" si="30"/>
        <v>6922.3</v>
      </c>
      <c r="J691" s="111"/>
      <c r="L691" s="41">
        <f>VLOOKUP(E691,[3]단가!B$4:M$724,12,0)</f>
        <v>6293</v>
      </c>
      <c r="M691" s="118">
        <f t="shared" si="31"/>
        <v>0</v>
      </c>
      <c r="N691" s="481">
        <f t="shared" si="32"/>
        <v>0</v>
      </c>
    </row>
    <row r="692" spans="1:14">
      <c r="A692" s="111">
        <v>689</v>
      </c>
      <c r="B692" s="111" t="s">
        <v>1768</v>
      </c>
      <c r="C692" s="111" t="s">
        <v>399</v>
      </c>
      <c r="D692" s="111" t="s">
        <v>1530</v>
      </c>
      <c r="E692" s="111" t="s">
        <v>1774</v>
      </c>
      <c r="F692" s="111" t="s">
        <v>399</v>
      </c>
      <c r="G692" s="111"/>
      <c r="H692" s="172">
        <v>11672</v>
      </c>
      <c r="I692" s="172">
        <f t="shared" si="30"/>
        <v>12839.2</v>
      </c>
      <c r="J692" s="111"/>
      <c r="L692" s="41">
        <f>VLOOKUP(E692,[3]단가!B$4:M$724,12,0)</f>
        <v>11672</v>
      </c>
      <c r="M692" s="118">
        <f t="shared" si="31"/>
        <v>0</v>
      </c>
      <c r="N692" s="481">
        <f t="shared" si="32"/>
        <v>0</v>
      </c>
    </row>
    <row r="693" spans="1:14">
      <c r="A693" s="111">
        <v>690</v>
      </c>
      <c r="B693" s="111" t="s">
        <v>1768</v>
      </c>
      <c r="C693" s="111" t="s">
        <v>399</v>
      </c>
      <c r="D693" s="111" t="s">
        <v>1530</v>
      </c>
      <c r="E693" s="111" t="s">
        <v>419</v>
      </c>
      <c r="F693" s="111" t="s">
        <v>399</v>
      </c>
      <c r="G693" s="111"/>
      <c r="H693" s="172">
        <v>10454</v>
      </c>
      <c r="I693" s="172">
        <f t="shared" si="30"/>
        <v>11499.400000000001</v>
      </c>
      <c r="J693" s="111"/>
      <c r="L693" s="41">
        <f>VLOOKUP(E693,[3]단가!B$4:M$724,12,0)</f>
        <v>10454</v>
      </c>
      <c r="M693" s="118">
        <f t="shared" si="31"/>
        <v>0</v>
      </c>
      <c r="N693" s="481">
        <f t="shared" si="32"/>
        <v>0</v>
      </c>
    </row>
    <row r="694" spans="1:14">
      <c r="A694" s="111">
        <v>691</v>
      </c>
      <c r="B694" s="111" t="s">
        <v>1768</v>
      </c>
      <c r="C694" s="111" t="s">
        <v>435</v>
      </c>
      <c r="D694" s="111" t="s">
        <v>1530</v>
      </c>
      <c r="E694" s="111" t="s">
        <v>434</v>
      </c>
      <c r="F694" s="111" t="s">
        <v>435</v>
      </c>
      <c r="G694" s="111"/>
      <c r="H694" s="172">
        <v>20300</v>
      </c>
      <c r="I694" s="172">
        <f t="shared" si="30"/>
        <v>22330</v>
      </c>
      <c r="J694" s="111"/>
      <c r="L694" s="41">
        <f>VLOOKUP(E694,[3]단가!B$4:M$724,12,0)</f>
        <v>20300</v>
      </c>
      <c r="M694" s="118">
        <f t="shared" si="31"/>
        <v>0</v>
      </c>
      <c r="N694" s="481">
        <f t="shared" si="32"/>
        <v>0</v>
      </c>
    </row>
    <row r="695" spans="1:14">
      <c r="A695" s="111">
        <v>692</v>
      </c>
      <c r="B695" s="111" t="s">
        <v>1768</v>
      </c>
      <c r="C695" s="111" t="s">
        <v>1775</v>
      </c>
      <c r="D695" s="111" t="s">
        <v>747</v>
      </c>
      <c r="E695" s="111" t="s">
        <v>1776</v>
      </c>
      <c r="F695" s="111" t="s">
        <v>1775</v>
      </c>
      <c r="G695" s="111"/>
      <c r="H695" s="172">
        <v>13195</v>
      </c>
      <c r="I695" s="172">
        <f t="shared" si="30"/>
        <v>13195</v>
      </c>
      <c r="J695" s="111"/>
      <c r="L695" s="41">
        <f>VLOOKUP(E695,[3]단가!B$4:M$724,12,0)</f>
        <v>13195</v>
      </c>
      <c r="M695" s="118">
        <f t="shared" si="31"/>
        <v>0</v>
      </c>
      <c r="N695" s="481">
        <f t="shared" si="32"/>
        <v>0</v>
      </c>
    </row>
    <row r="696" spans="1:14">
      <c r="A696" s="111">
        <v>693</v>
      </c>
      <c r="B696" s="111" t="s">
        <v>1768</v>
      </c>
      <c r="C696" s="111" t="s">
        <v>1777</v>
      </c>
      <c r="D696" s="111" t="s">
        <v>1530</v>
      </c>
      <c r="E696" s="111" t="s">
        <v>465</v>
      </c>
      <c r="F696" s="111" t="s">
        <v>1777</v>
      </c>
      <c r="G696" s="111"/>
      <c r="H696" s="172">
        <v>25375</v>
      </c>
      <c r="I696" s="172">
        <f t="shared" si="30"/>
        <v>27912.500000000004</v>
      </c>
      <c r="J696" s="111"/>
      <c r="L696" s="41">
        <f>VLOOKUP(E696,[3]단가!B$4:M$724,12,0)</f>
        <v>25375</v>
      </c>
      <c r="M696" s="118">
        <f t="shared" si="31"/>
        <v>0</v>
      </c>
      <c r="N696" s="481">
        <f t="shared" si="32"/>
        <v>0</v>
      </c>
    </row>
    <row r="697" spans="1:14">
      <c r="A697" s="111">
        <v>694</v>
      </c>
      <c r="B697" s="111" t="s">
        <v>1768</v>
      </c>
      <c r="C697" s="111" t="s">
        <v>469</v>
      </c>
      <c r="D697" s="111" t="s">
        <v>1530</v>
      </c>
      <c r="E697" s="111" t="s">
        <v>468</v>
      </c>
      <c r="F697" s="111" t="s">
        <v>469</v>
      </c>
      <c r="G697" s="111"/>
      <c r="H697" s="172">
        <v>17255</v>
      </c>
      <c r="I697" s="172">
        <f t="shared" si="30"/>
        <v>18980.5</v>
      </c>
      <c r="J697" s="111"/>
      <c r="L697" s="41">
        <f>VLOOKUP(E697,[3]단가!B$4:M$724,12,0)</f>
        <v>17255</v>
      </c>
      <c r="M697" s="118">
        <f t="shared" si="31"/>
        <v>0</v>
      </c>
      <c r="N697" s="481">
        <f t="shared" si="32"/>
        <v>0</v>
      </c>
    </row>
    <row r="698" spans="1:14">
      <c r="A698" s="111">
        <v>695</v>
      </c>
      <c r="B698" s="111" t="s">
        <v>1768</v>
      </c>
      <c r="C698" s="111" t="s">
        <v>1778</v>
      </c>
      <c r="D698" s="111" t="s">
        <v>1530</v>
      </c>
      <c r="E698" s="111" t="s">
        <v>1779</v>
      </c>
      <c r="F698" s="111" t="s">
        <v>1778</v>
      </c>
      <c r="G698" s="111"/>
      <c r="H698" s="172">
        <v>24861</v>
      </c>
      <c r="I698" s="172">
        <f t="shared" si="30"/>
        <v>27347.100000000002</v>
      </c>
      <c r="J698" s="111"/>
      <c r="L698" s="41">
        <f>VLOOKUP(E698,[3]단가!B$4:M$724,12,0)</f>
        <v>24861</v>
      </c>
      <c r="M698" s="118">
        <f t="shared" si="31"/>
        <v>0</v>
      </c>
      <c r="N698" s="481">
        <f t="shared" si="32"/>
        <v>0</v>
      </c>
    </row>
    <row r="699" spans="1:14">
      <c r="A699" s="111">
        <v>696</v>
      </c>
      <c r="B699" s="111" t="s">
        <v>1768</v>
      </c>
      <c r="C699" s="111" t="s">
        <v>460</v>
      </c>
      <c r="D699" s="111" t="s">
        <v>1530</v>
      </c>
      <c r="E699" s="111" t="s">
        <v>459</v>
      </c>
      <c r="F699" s="111" t="s">
        <v>1780</v>
      </c>
      <c r="G699" s="111"/>
      <c r="H699" s="172">
        <v>17407</v>
      </c>
      <c r="I699" s="172">
        <f t="shared" si="30"/>
        <v>19147.7</v>
      </c>
      <c r="J699" s="111"/>
      <c r="L699" s="41">
        <f>VLOOKUP(E699,[3]단가!B$4:M$724,12,0)</f>
        <v>17407</v>
      </c>
      <c r="M699" s="118">
        <f t="shared" si="31"/>
        <v>0</v>
      </c>
      <c r="N699" s="481">
        <f t="shared" si="32"/>
        <v>0</v>
      </c>
    </row>
    <row r="700" spans="1:14">
      <c r="A700" s="111">
        <v>697</v>
      </c>
      <c r="B700" s="111" t="s">
        <v>1768</v>
      </c>
      <c r="C700" s="111" t="s">
        <v>460</v>
      </c>
      <c r="D700" s="111" t="s">
        <v>1530</v>
      </c>
      <c r="E700" s="111" t="s">
        <v>1781</v>
      </c>
      <c r="F700" s="1" t="s">
        <v>1782</v>
      </c>
      <c r="G700" s="111"/>
      <c r="H700" s="172">
        <v>26187</v>
      </c>
      <c r="I700" s="172">
        <f t="shared" si="30"/>
        <v>28805.7</v>
      </c>
      <c r="J700" s="111"/>
      <c r="L700" s="41">
        <f>VLOOKUP(E700,[3]단가!B$4:M$724,12,0)</f>
        <v>26187</v>
      </c>
      <c r="M700" s="118">
        <f t="shared" si="31"/>
        <v>0</v>
      </c>
      <c r="N700" s="481">
        <f t="shared" si="32"/>
        <v>0</v>
      </c>
    </row>
    <row r="701" spans="1:14">
      <c r="A701" s="111">
        <v>698</v>
      </c>
      <c r="B701" s="111" t="s">
        <v>1768</v>
      </c>
      <c r="C701" s="111" t="s">
        <v>378</v>
      </c>
      <c r="D701" s="111" t="s">
        <v>747</v>
      </c>
      <c r="E701" s="111" t="s">
        <v>377</v>
      </c>
      <c r="F701" s="111" t="s">
        <v>378</v>
      </c>
      <c r="G701" s="111"/>
      <c r="H701" s="172">
        <v>75522</v>
      </c>
      <c r="I701" s="172">
        <f t="shared" si="30"/>
        <v>75522</v>
      </c>
      <c r="J701" s="111"/>
      <c r="L701" s="41">
        <f>VLOOKUP(E701,[3]단가!B$4:M$724,12,0)</f>
        <v>75522</v>
      </c>
      <c r="M701" s="118">
        <f t="shared" si="31"/>
        <v>0</v>
      </c>
      <c r="N701" s="481">
        <f t="shared" si="32"/>
        <v>0</v>
      </c>
    </row>
    <row r="702" spans="1:14">
      <c r="A702" s="111">
        <v>699</v>
      </c>
      <c r="B702" s="111" t="s">
        <v>1768</v>
      </c>
      <c r="C702" s="111" t="s">
        <v>385</v>
      </c>
      <c r="D702" s="111" t="s">
        <v>1530</v>
      </c>
      <c r="E702" s="111" t="s">
        <v>600</v>
      </c>
      <c r="F702" s="111" t="s">
        <v>385</v>
      </c>
      <c r="G702" s="111"/>
      <c r="H702" s="172">
        <v>609</v>
      </c>
      <c r="I702" s="172">
        <f t="shared" si="30"/>
        <v>669.90000000000009</v>
      </c>
      <c r="J702" s="111"/>
      <c r="L702" s="41">
        <f>VLOOKUP(E702,[3]단가!B$4:M$724,12,0)</f>
        <v>609</v>
      </c>
      <c r="M702" s="118">
        <f t="shared" si="31"/>
        <v>0</v>
      </c>
      <c r="N702" s="481">
        <f t="shared" si="32"/>
        <v>0</v>
      </c>
    </row>
    <row r="703" spans="1:14">
      <c r="A703" s="111">
        <v>700</v>
      </c>
      <c r="B703" s="111" t="s">
        <v>1768</v>
      </c>
      <c r="C703" s="111" t="s">
        <v>453</v>
      </c>
      <c r="D703" s="111" t="s">
        <v>747</v>
      </c>
      <c r="E703" s="111" t="s">
        <v>610</v>
      </c>
      <c r="F703" s="111" t="s">
        <v>456</v>
      </c>
      <c r="G703" s="109" t="s">
        <v>612</v>
      </c>
      <c r="H703" s="119">
        <v>21274</v>
      </c>
      <c r="I703" s="172">
        <f t="shared" si="30"/>
        <v>21274</v>
      </c>
      <c r="J703" s="109"/>
      <c r="L703" s="41">
        <f>VLOOKUP(E703,[3]단가!B$4:M$724,12,0)</f>
        <v>21274</v>
      </c>
      <c r="M703" s="118">
        <f t="shared" si="31"/>
        <v>0</v>
      </c>
      <c r="N703" s="481">
        <f t="shared" si="32"/>
        <v>0</v>
      </c>
    </row>
    <row r="704" spans="1:14">
      <c r="A704" s="111">
        <v>701</v>
      </c>
      <c r="B704" s="111" t="s">
        <v>1768</v>
      </c>
      <c r="C704" s="111" t="s">
        <v>1783</v>
      </c>
      <c r="D704" s="111" t="s">
        <v>1530</v>
      </c>
      <c r="E704" s="111" t="s">
        <v>616</v>
      </c>
      <c r="F704" s="111" t="s">
        <v>1784</v>
      </c>
      <c r="G704" s="109"/>
      <c r="H704" s="119">
        <v>129</v>
      </c>
      <c r="I704" s="172">
        <f t="shared" si="30"/>
        <v>141.9</v>
      </c>
      <c r="J704" s="109"/>
      <c r="L704" s="41">
        <f>VLOOKUP(E704,[3]단가!B$4:M$724,12,0)</f>
        <v>129</v>
      </c>
      <c r="M704" s="118">
        <f t="shared" si="31"/>
        <v>0</v>
      </c>
      <c r="N704" s="481">
        <f t="shared" si="32"/>
        <v>0</v>
      </c>
    </row>
    <row r="705" spans="1:16">
      <c r="A705" s="111">
        <v>702</v>
      </c>
      <c r="B705" s="111" t="s">
        <v>1768</v>
      </c>
      <c r="C705" s="111" t="s">
        <v>1783</v>
      </c>
      <c r="D705" s="111" t="s">
        <v>1530</v>
      </c>
      <c r="E705" s="111" t="s">
        <v>619</v>
      </c>
      <c r="F705" s="111" t="s">
        <v>620</v>
      </c>
      <c r="G705" s="109"/>
      <c r="H705" s="119">
        <v>35645</v>
      </c>
      <c r="I705" s="172">
        <f t="shared" si="30"/>
        <v>39209.5</v>
      </c>
      <c r="J705" s="109"/>
      <c r="L705" s="41">
        <f>VLOOKUP(E705,[3]단가!B$4:M$724,12,0)</f>
        <v>35645</v>
      </c>
      <c r="M705" s="118">
        <f t="shared" si="31"/>
        <v>0</v>
      </c>
      <c r="N705" s="481">
        <f t="shared" si="32"/>
        <v>0</v>
      </c>
    </row>
    <row r="706" spans="1:16">
      <c r="A706" s="111">
        <v>703</v>
      </c>
      <c r="B706" s="111" t="s">
        <v>1768</v>
      </c>
      <c r="C706" s="111" t="s">
        <v>1785</v>
      </c>
      <c r="D706" s="111" t="s">
        <v>1530</v>
      </c>
      <c r="E706" s="111" t="s">
        <v>622</v>
      </c>
      <c r="F706" s="111" t="s">
        <v>1786</v>
      </c>
      <c r="G706" s="109"/>
      <c r="H706" s="119">
        <v>1065</v>
      </c>
      <c r="I706" s="172">
        <f t="shared" si="30"/>
        <v>1171.5</v>
      </c>
      <c r="J706" s="109"/>
      <c r="L706" s="41">
        <f>VLOOKUP(E706,[3]단가!B$4:M$724,12,0)</f>
        <v>1065</v>
      </c>
      <c r="M706" s="118">
        <f t="shared" si="31"/>
        <v>0</v>
      </c>
      <c r="N706" s="481">
        <f t="shared" si="32"/>
        <v>0</v>
      </c>
    </row>
    <row r="707" spans="1:16">
      <c r="A707" s="111">
        <v>704</v>
      </c>
      <c r="B707" s="111" t="s">
        <v>1768</v>
      </c>
      <c r="C707" s="111" t="s">
        <v>1787</v>
      </c>
      <c r="D707" s="111" t="s">
        <v>1530</v>
      </c>
      <c r="E707" s="111" t="s">
        <v>625</v>
      </c>
      <c r="F707" s="111" t="s">
        <v>1788</v>
      </c>
      <c r="G707" s="109"/>
      <c r="H707" s="119">
        <v>6465</v>
      </c>
      <c r="I707" s="172">
        <f t="shared" si="30"/>
        <v>7111.5000000000009</v>
      </c>
      <c r="J707" s="109"/>
      <c r="L707" s="41">
        <f>VLOOKUP(E707,[3]단가!B$4:M$724,12,0)</f>
        <v>6465</v>
      </c>
      <c r="M707" s="118">
        <f t="shared" si="31"/>
        <v>0</v>
      </c>
      <c r="N707" s="481">
        <f t="shared" si="32"/>
        <v>0</v>
      </c>
    </row>
    <row r="708" spans="1:16">
      <c r="A708" s="111">
        <v>705</v>
      </c>
      <c r="B708" s="111" t="s">
        <v>1768</v>
      </c>
      <c r="C708" s="111" t="s">
        <v>1789</v>
      </c>
      <c r="D708" s="111" t="s">
        <v>1530</v>
      </c>
      <c r="E708" s="111" t="s">
        <v>628</v>
      </c>
      <c r="F708" s="111" t="s">
        <v>1790</v>
      </c>
      <c r="G708" s="109"/>
      <c r="H708" s="119">
        <v>4113</v>
      </c>
      <c r="I708" s="172">
        <f t="shared" si="30"/>
        <v>4524.3</v>
      </c>
      <c r="J708" s="109"/>
      <c r="L708" s="41">
        <f>VLOOKUP(E708,[3]단가!B$4:M$724,12,0)</f>
        <v>4113</v>
      </c>
      <c r="M708" s="118">
        <f t="shared" si="31"/>
        <v>0</v>
      </c>
      <c r="N708" s="481">
        <f t="shared" si="32"/>
        <v>0</v>
      </c>
    </row>
    <row r="709" spans="1:16">
      <c r="A709" s="111">
        <v>706</v>
      </c>
      <c r="B709" s="111" t="s">
        <v>1768</v>
      </c>
      <c r="C709" s="111" t="s">
        <v>1791</v>
      </c>
      <c r="D709" s="111" t="s">
        <v>1530</v>
      </c>
      <c r="E709" s="111" t="s">
        <v>631</v>
      </c>
      <c r="F709" s="111" t="s">
        <v>1792</v>
      </c>
      <c r="G709" s="109"/>
      <c r="H709" s="119">
        <v>2760</v>
      </c>
      <c r="I709" s="172">
        <f t="shared" ref="I709:I730" si="33">IF(D709="Y",H709*$I$3,H709*$J$3)</f>
        <v>3036.0000000000005</v>
      </c>
      <c r="J709" s="109"/>
      <c r="L709" s="41">
        <f>VLOOKUP(E709,[3]단가!B$4:M$724,12,0)</f>
        <v>2760</v>
      </c>
      <c r="M709" s="118">
        <f t="shared" si="31"/>
        <v>0</v>
      </c>
      <c r="N709" s="481">
        <f t="shared" si="32"/>
        <v>0</v>
      </c>
    </row>
    <row r="710" spans="1:16">
      <c r="A710" s="111">
        <v>707</v>
      </c>
      <c r="B710" s="111" t="s">
        <v>1768</v>
      </c>
      <c r="C710" s="111" t="s">
        <v>1793</v>
      </c>
      <c r="D710" s="111" t="s">
        <v>1530</v>
      </c>
      <c r="E710" s="111" t="s">
        <v>634</v>
      </c>
      <c r="F710" s="111" t="s">
        <v>1794</v>
      </c>
      <c r="G710" s="109"/>
      <c r="H710" s="119">
        <v>6207</v>
      </c>
      <c r="I710" s="172">
        <f t="shared" si="33"/>
        <v>6827.7000000000007</v>
      </c>
      <c r="J710" s="109"/>
      <c r="L710" s="41">
        <f>VLOOKUP(E710,[3]단가!B$4:M$724,12,0)</f>
        <v>6207</v>
      </c>
      <c r="M710" s="118">
        <f t="shared" ref="M710:M730" si="34">L710-H710</f>
        <v>0</v>
      </c>
      <c r="N710" s="481">
        <f t="shared" ref="N710:N730" si="35">M710/H710</f>
        <v>0</v>
      </c>
    </row>
    <row r="711" spans="1:16">
      <c r="A711" s="111">
        <v>708</v>
      </c>
      <c r="B711" s="111" t="s">
        <v>1768</v>
      </c>
      <c r="C711" s="111" t="s">
        <v>1795</v>
      </c>
      <c r="D711" s="111" t="s">
        <v>1530</v>
      </c>
      <c r="E711" s="111" t="s">
        <v>521</v>
      </c>
      <c r="F711" s="111" t="s">
        <v>1795</v>
      </c>
      <c r="G711" s="109"/>
      <c r="H711" s="119">
        <v>586</v>
      </c>
      <c r="I711" s="172">
        <f t="shared" si="33"/>
        <v>644.6</v>
      </c>
      <c r="J711" s="109"/>
      <c r="L711" s="41">
        <f>VLOOKUP(E711,[3]단가!B$4:M$724,12,0)</f>
        <v>586</v>
      </c>
      <c r="M711" s="118">
        <f t="shared" si="34"/>
        <v>0</v>
      </c>
      <c r="N711" s="481">
        <f t="shared" si="35"/>
        <v>0</v>
      </c>
    </row>
    <row r="712" spans="1:16">
      <c r="A712" s="111">
        <v>709</v>
      </c>
      <c r="B712" s="111" t="s">
        <v>1768</v>
      </c>
      <c r="C712" s="111" t="s">
        <v>1795</v>
      </c>
      <c r="D712" s="111" t="s">
        <v>1530</v>
      </c>
      <c r="E712" s="111" t="s">
        <v>524</v>
      </c>
      <c r="F712" s="111" t="s">
        <v>1795</v>
      </c>
      <c r="G712" s="109"/>
      <c r="H712" s="119">
        <v>19299</v>
      </c>
      <c r="I712" s="172">
        <f t="shared" si="33"/>
        <v>21228.9</v>
      </c>
      <c r="J712" s="109"/>
      <c r="L712" s="41">
        <f>VLOOKUP(E712,[3]단가!B$4:M$724,12,0)</f>
        <v>19299</v>
      </c>
      <c r="M712" s="118">
        <f t="shared" si="34"/>
        <v>0</v>
      </c>
      <c r="N712" s="481">
        <f t="shared" si="35"/>
        <v>0</v>
      </c>
    </row>
    <row r="713" spans="1:16">
      <c r="A713" s="111">
        <v>710</v>
      </c>
      <c r="B713" s="111" t="s">
        <v>1768</v>
      </c>
      <c r="C713" s="111" t="s">
        <v>1796</v>
      </c>
      <c r="D713" s="111" t="s">
        <v>1530</v>
      </c>
      <c r="E713" s="111" t="s">
        <v>1797</v>
      </c>
      <c r="F713" s="111" t="s">
        <v>1796</v>
      </c>
      <c r="G713" s="109"/>
      <c r="H713" s="119">
        <v>10860</v>
      </c>
      <c r="I713" s="172">
        <f t="shared" si="33"/>
        <v>11946.000000000002</v>
      </c>
      <c r="J713" s="109"/>
      <c r="L713" s="41">
        <f>VLOOKUP(E713,[3]단가!B$4:M$724,12,0)</f>
        <v>10860</v>
      </c>
      <c r="M713" s="118">
        <f t="shared" si="34"/>
        <v>0</v>
      </c>
      <c r="N713" s="481">
        <f t="shared" si="35"/>
        <v>0</v>
      </c>
    </row>
    <row r="714" spans="1:16">
      <c r="A714" s="111">
        <v>711</v>
      </c>
      <c r="B714" s="111" t="s">
        <v>90</v>
      </c>
      <c r="C714" s="111" t="s">
        <v>1798</v>
      </c>
      <c r="D714" s="111" t="s">
        <v>1530</v>
      </c>
      <c r="E714" s="111" t="s">
        <v>527</v>
      </c>
      <c r="F714" s="111" t="s">
        <v>528</v>
      </c>
      <c r="G714" s="109"/>
      <c r="H714" s="119">
        <v>119364</v>
      </c>
      <c r="I714" s="172">
        <f t="shared" si="33"/>
        <v>131300.40000000002</v>
      </c>
      <c r="J714" s="109"/>
      <c r="L714" s="41">
        <f>VLOOKUP(E714,[3]단가!B$4:M$724,12,0)</f>
        <v>119364</v>
      </c>
      <c r="M714" s="118">
        <f t="shared" si="34"/>
        <v>0</v>
      </c>
      <c r="N714" s="481">
        <f t="shared" si="35"/>
        <v>0</v>
      </c>
      <c r="P714" s="488"/>
    </row>
    <row r="715" spans="1:16">
      <c r="A715" s="111">
        <v>712</v>
      </c>
      <c r="B715" s="111" t="s">
        <v>90</v>
      </c>
      <c r="C715" s="111" t="s">
        <v>1799</v>
      </c>
      <c r="D715" s="111" t="s">
        <v>1530</v>
      </c>
      <c r="E715" s="111" t="s">
        <v>529</v>
      </c>
      <c r="F715" s="111" t="s">
        <v>530</v>
      </c>
      <c r="G715" s="109"/>
      <c r="H715" s="119">
        <v>39572</v>
      </c>
      <c r="I715" s="172">
        <f t="shared" si="33"/>
        <v>43529.200000000004</v>
      </c>
      <c r="J715" s="109"/>
      <c r="L715" s="41">
        <f>VLOOKUP(E715,[3]단가!B$4:M$724,12,0)</f>
        <v>39572</v>
      </c>
      <c r="M715" s="118">
        <f t="shared" si="34"/>
        <v>0</v>
      </c>
      <c r="N715" s="481">
        <f t="shared" si="35"/>
        <v>0</v>
      </c>
    </row>
    <row r="716" spans="1:16">
      <c r="A716" s="111">
        <v>713</v>
      </c>
      <c r="B716" s="111" t="s">
        <v>90</v>
      </c>
      <c r="C716" s="111" t="s">
        <v>674</v>
      </c>
      <c r="D716" s="111" t="s">
        <v>1530</v>
      </c>
      <c r="E716" s="111" t="s">
        <v>673</v>
      </c>
      <c r="F716" s="111" t="s">
        <v>674</v>
      </c>
      <c r="G716" s="109"/>
      <c r="H716" s="119">
        <v>68731</v>
      </c>
      <c r="I716" s="172">
        <f t="shared" si="33"/>
        <v>75604.100000000006</v>
      </c>
      <c r="J716" s="109"/>
      <c r="L716" s="41">
        <f>VLOOKUP(E716,[3]단가!B$4:M$724,12,0)</f>
        <v>68731</v>
      </c>
      <c r="M716" s="118">
        <f t="shared" si="34"/>
        <v>0</v>
      </c>
      <c r="N716" s="481">
        <f t="shared" si="35"/>
        <v>0</v>
      </c>
    </row>
    <row r="717" spans="1:16">
      <c r="A717" s="111">
        <v>714</v>
      </c>
      <c r="B717" s="111" t="s">
        <v>90</v>
      </c>
      <c r="C717" s="111" t="s">
        <v>677</v>
      </c>
      <c r="D717" s="111" t="s">
        <v>1530</v>
      </c>
      <c r="E717" s="111" t="s">
        <v>676</v>
      </c>
      <c r="F717" s="111" t="s">
        <v>677</v>
      </c>
      <c r="G717" s="109"/>
      <c r="H717" s="119">
        <v>28521</v>
      </c>
      <c r="I717" s="172">
        <f t="shared" si="33"/>
        <v>31373.100000000002</v>
      </c>
      <c r="J717" s="109"/>
      <c r="L717" s="41">
        <f>VLOOKUP(E717,[3]단가!B$4:M$724,12,0)</f>
        <v>28521</v>
      </c>
      <c r="M717" s="118">
        <f t="shared" si="34"/>
        <v>0</v>
      </c>
      <c r="N717" s="481">
        <f t="shared" si="35"/>
        <v>0</v>
      </c>
    </row>
    <row r="718" spans="1:16">
      <c r="A718" s="111">
        <v>715</v>
      </c>
      <c r="B718" s="111" t="s">
        <v>90</v>
      </c>
      <c r="C718" s="111" t="s">
        <v>1800</v>
      </c>
      <c r="D718" s="111" t="s">
        <v>747</v>
      </c>
      <c r="E718" s="111" t="s">
        <v>1801</v>
      </c>
      <c r="F718" s="111" t="s">
        <v>1800</v>
      </c>
      <c r="G718" s="111" t="s">
        <v>1802</v>
      </c>
      <c r="H718" s="119">
        <v>34510</v>
      </c>
      <c r="I718" s="172">
        <f t="shared" si="33"/>
        <v>34510</v>
      </c>
      <c r="J718" s="109"/>
      <c r="L718" s="41">
        <f>VLOOKUP(E718,[3]단가!B$4:M$724,12,0)</f>
        <v>34510</v>
      </c>
      <c r="M718" s="118">
        <f t="shared" si="34"/>
        <v>0</v>
      </c>
      <c r="N718" s="481">
        <f t="shared" si="35"/>
        <v>0</v>
      </c>
    </row>
    <row r="719" spans="1:16">
      <c r="A719" s="111">
        <v>716</v>
      </c>
      <c r="B719" s="111" t="s">
        <v>90</v>
      </c>
      <c r="C719" s="111" t="s">
        <v>1803</v>
      </c>
      <c r="D719" s="111" t="s">
        <v>1530</v>
      </c>
      <c r="E719" s="111" t="s">
        <v>1804</v>
      </c>
      <c r="F719" s="111" t="s">
        <v>1800</v>
      </c>
      <c r="G719" s="111" t="s">
        <v>1802</v>
      </c>
      <c r="H719" s="119">
        <v>114066</v>
      </c>
      <c r="I719" s="172">
        <f t="shared" si="33"/>
        <v>125472.6</v>
      </c>
      <c r="J719" s="109"/>
      <c r="L719" s="41">
        <f>VLOOKUP(E719,[3]단가!B$4:M$724,12,0)</f>
        <v>114066</v>
      </c>
      <c r="M719" s="118">
        <f t="shared" si="34"/>
        <v>0</v>
      </c>
      <c r="N719" s="481">
        <f t="shared" si="35"/>
        <v>0</v>
      </c>
    </row>
    <row r="720" spans="1:16">
      <c r="A720" s="111">
        <v>717</v>
      </c>
      <c r="B720" s="111" t="s">
        <v>90</v>
      </c>
      <c r="C720" s="111" t="s">
        <v>1805</v>
      </c>
      <c r="D720" s="111" t="s">
        <v>1530</v>
      </c>
      <c r="E720" s="111">
        <v>290100052</v>
      </c>
      <c r="F720" s="111" t="s">
        <v>1806</v>
      </c>
      <c r="G720" s="111" t="s">
        <v>1807</v>
      </c>
      <c r="H720" s="119">
        <v>172550</v>
      </c>
      <c r="I720" s="172">
        <f t="shared" si="33"/>
        <v>189805.00000000003</v>
      </c>
      <c r="J720" s="109"/>
      <c r="L720" s="41">
        <f>VLOOKUP(E720,[3]단가!B$4:M$724,12,0)</f>
        <v>172550</v>
      </c>
      <c r="M720" s="118">
        <f t="shared" si="34"/>
        <v>0</v>
      </c>
      <c r="N720" s="481">
        <f t="shared" si="35"/>
        <v>0</v>
      </c>
    </row>
    <row r="721" spans="1:14">
      <c r="A721" s="111">
        <v>718</v>
      </c>
      <c r="B721" s="111"/>
      <c r="C721" s="111" t="s">
        <v>1808</v>
      </c>
      <c r="D721" s="111" t="s">
        <v>747</v>
      </c>
      <c r="E721" s="111" t="s">
        <v>221</v>
      </c>
      <c r="F721" s="111" t="s">
        <v>222</v>
      </c>
      <c r="G721" s="109"/>
      <c r="H721" s="119">
        <v>12078</v>
      </c>
      <c r="I721" s="172">
        <f t="shared" si="33"/>
        <v>12078</v>
      </c>
      <c r="J721" s="109"/>
      <c r="L721" s="41">
        <f>VLOOKUP(E721,[3]단가!B$4:M$724,12,0)</f>
        <v>12078</v>
      </c>
      <c r="M721" s="118">
        <f t="shared" si="34"/>
        <v>0</v>
      </c>
      <c r="N721" s="481">
        <f t="shared" si="35"/>
        <v>0</v>
      </c>
    </row>
    <row r="722" spans="1:14">
      <c r="A722" s="111">
        <v>719</v>
      </c>
      <c r="B722" s="109"/>
      <c r="C722" s="111" t="s">
        <v>1809</v>
      </c>
      <c r="D722" s="111" t="s">
        <v>747</v>
      </c>
      <c r="E722" s="111" t="s">
        <v>1810</v>
      </c>
      <c r="F722" s="111" t="s">
        <v>1811</v>
      </c>
      <c r="G722" s="109"/>
      <c r="H722" s="119">
        <v>111650</v>
      </c>
      <c r="I722" s="172">
        <f t="shared" si="33"/>
        <v>111650</v>
      </c>
      <c r="J722" s="109"/>
      <c r="L722" s="41">
        <f>VLOOKUP(E722,[3]단가!B$4:M$724,12,0)</f>
        <v>111650</v>
      </c>
      <c r="M722" s="118">
        <f t="shared" si="34"/>
        <v>0</v>
      </c>
      <c r="N722" s="481">
        <f t="shared" si="35"/>
        <v>0</v>
      </c>
    </row>
    <row r="723" spans="1:14">
      <c r="A723" s="111">
        <v>720</v>
      </c>
      <c r="B723" s="109"/>
      <c r="C723" s="111" t="s">
        <v>1812</v>
      </c>
      <c r="D723" s="111" t="s">
        <v>747</v>
      </c>
      <c r="E723" s="111" t="s">
        <v>1813</v>
      </c>
      <c r="F723" s="111" t="s">
        <v>1814</v>
      </c>
      <c r="G723" s="109"/>
      <c r="H723" s="119">
        <v>182700</v>
      </c>
      <c r="I723" s="172">
        <f t="shared" si="33"/>
        <v>182700</v>
      </c>
      <c r="J723" s="109"/>
      <c r="L723" s="41">
        <f>VLOOKUP(E723,[3]단가!B$4:M$724,12,0)</f>
        <v>182700</v>
      </c>
      <c r="M723" s="118">
        <f t="shared" si="34"/>
        <v>0</v>
      </c>
      <c r="N723" s="481">
        <f t="shared" si="35"/>
        <v>0</v>
      </c>
    </row>
    <row r="724" spans="1:14">
      <c r="A724" s="111">
        <v>721</v>
      </c>
      <c r="B724" s="109"/>
      <c r="C724" s="111" t="s">
        <v>1812</v>
      </c>
      <c r="D724" s="111" t="s">
        <v>747</v>
      </c>
      <c r="E724" s="111" t="s">
        <v>1815</v>
      </c>
      <c r="F724" s="111" t="s">
        <v>1816</v>
      </c>
      <c r="G724" s="109"/>
      <c r="H724" s="119">
        <v>182700</v>
      </c>
      <c r="I724" s="172">
        <f t="shared" si="33"/>
        <v>182700</v>
      </c>
      <c r="J724" s="109"/>
      <c r="L724" s="41">
        <f>VLOOKUP(E724,[3]단가!B$4:M$724,12,0)</f>
        <v>182700</v>
      </c>
      <c r="M724" s="118">
        <f t="shared" si="34"/>
        <v>0</v>
      </c>
      <c r="N724" s="481">
        <f t="shared" si="35"/>
        <v>0</v>
      </c>
    </row>
    <row r="725" spans="1:14">
      <c r="A725" s="111">
        <v>722</v>
      </c>
      <c r="B725" s="109"/>
      <c r="C725" s="111" t="s">
        <v>1812</v>
      </c>
      <c r="D725" s="111" t="s">
        <v>747</v>
      </c>
      <c r="E725" s="111" t="s">
        <v>1817</v>
      </c>
      <c r="F725" s="111" t="s">
        <v>1818</v>
      </c>
      <c r="G725" s="109"/>
      <c r="H725" s="119">
        <v>182700</v>
      </c>
      <c r="I725" s="172">
        <f t="shared" si="33"/>
        <v>182700</v>
      </c>
      <c r="J725" s="109"/>
      <c r="L725" s="41">
        <f>VLOOKUP(E725,[3]단가!B$4:M$724,12,0)</f>
        <v>182700</v>
      </c>
      <c r="M725" s="118">
        <f t="shared" si="34"/>
        <v>0</v>
      </c>
      <c r="N725" s="481">
        <f t="shared" si="35"/>
        <v>0</v>
      </c>
    </row>
    <row r="726" spans="1:14">
      <c r="A726" s="111">
        <v>723</v>
      </c>
      <c r="B726" s="109"/>
      <c r="C726" s="111" t="s">
        <v>1812</v>
      </c>
      <c r="D726" s="111" t="s">
        <v>747</v>
      </c>
      <c r="E726" s="111" t="s">
        <v>1819</v>
      </c>
      <c r="F726" s="111" t="s">
        <v>1820</v>
      </c>
      <c r="G726" s="109"/>
      <c r="H726" s="119">
        <v>197925</v>
      </c>
      <c r="I726" s="172">
        <f t="shared" si="33"/>
        <v>197925</v>
      </c>
      <c r="J726" s="109"/>
      <c r="L726" s="41">
        <f>VLOOKUP(E726,[3]단가!B$4:M$724,12,0)</f>
        <v>197925</v>
      </c>
      <c r="M726" s="118">
        <f t="shared" si="34"/>
        <v>0</v>
      </c>
      <c r="N726" s="481">
        <f t="shared" si="35"/>
        <v>0</v>
      </c>
    </row>
    <row r="727" spans="1:14">
      <c r="A727" s="111">
        <v>724</v>
      </c>
      <c r="B727" s="109"/>
      <c r="C727" s="111" t="s">
        <v>1812</v>
      </c>
      <c r="D727" s="111" t="s">
        <v>747</v>
      </c>
      <c r="E727" s="111" t="s">
        <v>1821</v>
      </c>
      <c r="F727" s="111" t="s">
        <v>1822</v>
      </c>
      <c r="G727" s="109"/>
      <c r="H727" s="119">
        <v>243600</v>
      </c>
      <c r="I727" s="172">
        <f t="shared" si="33"/>
        <v>243600</v>
      </c>
      <c r="J727" s="109"/>
      <c r="L727" s="41">
        <f>VLOOKUP(E727,[3]단가!B$4:M$724,12,0)</f>
        <v>243600</v>
      </c>
      <c r="M727" s="118">
        <f t="shared" si="34"/>
        <v>0</v>
      </c>
      <c r="N727" s="481">
        <f t="shared" si="35"/>
        <v>0</v>
      </c>
    </row>
    <row r="728" spans="1:14">
      <c r="A728" s="111">
        <v>725</v>
      </c>
      <c r="B728" s="109"/>
      <c r="C728" s="111" t="s">
        <v>1823</v>
      </c>
      <c r="D728" s="111" t="s">
        <v>747</v>
      </c>
      <c r="E728" s="111" t="s">
        <v>1824</v>
      </c>
      <c r="F728" s="111" t="s">
        <v>1825</v>
      </c>
      <c r="G728" s="109"/>
      <c r="H728" s="119">
        <v>152250</v>
      </c>
      <c r="I728" s="172">
        <f t="shared" si="33"/>
        <v>152250</v>
      </c>
      <c r="J728" s="109"/>
      <c r="L728" s="41">
        <f>VLOOKUP(E728,[3]단가!B$4:M$724,12,0)</f>
        <v>152250</v>
      </c>
      <c r="M728" s="118">
        <f t="shared" si="34"/>
        <v>0</v>
      </c>
      <c r="N728" s="481">
        <f t="shared" si="35"/>
        <v>0</v>
      </c>
    </row>
    <row r="729" spans="1:14">
      <c r="A729" s="111">
        <v>726</v>
      </c>
      <c r="B729" s="109"/>
      <c r="C729" s="111" t="s">
        <v>1823</v>
      </c>
      <c r="D729" s="111" t="s">
        <v>1530</v>
      </c>
      <c r="E729" s="111"/>
      <c r="F729" s="111" t="s">
        <v>1826</v>
      </c>
      <c r="G729" s="109"/>
      <c r="H729" s="119">
        <v>781549.99999999988</v>
      </c>
      <c r="I729" s="172">
        <f t="shared" si="33"/>
        <v>859704.99999999988</v>
      </c>
      <c r="J729" s="109"/>
      <c r="L729" s="41">
        <v>781549.99999999988</v>
      </c>
      <c r="M729" s="118">
        <f t="shared" si="34"/>
        <v>0</v>
      </c>
      <c r="N729" s="481">
        <f t="shared" si="35"/>
        <v>0</v>
      </c>
    </row>
    <row r="730" spans="1:14">
      <c r="A730" s="111">
        <v>727</v>
      </c>
      <c r="B730" s="109"/>
      <c r="C730" s="111" t="s">
        <v>1812</v>
      </c>
      <c r="D730" s="111" t="s">
        <v>1530</v>
      </c>
      <c r="E730" s="111"/>
      <c r="F730" s="111" t="s">
        <v>1827</v>
      </c>
      <c r="G730" s="109"/>
      <c r="H730" s="319">
        <v>10149.999999999998</v>
      </c>
      <c r="I730" s="172">
        <f t="shared" si="33"/>
        <v>11164.999999999998</v>
      </c>
      <c r="J730" s="109" t="s">
        <v>1828</v>
      </c>
      <c r="L730" s="41">
        <v>10149.999999999998</v>
      </c>
      <c r="M730" s="118">
        <f t="shared" si="34"/>
        <v>0</v>
      </c>
      <c r="N730" s="481">
        <f t="shared" si="35"/>
        <v>0</v>
      </c>
    </row>
    <row r="731" spans="1:14">
      <c r="A731"/>
      <c r="B731"/>
      <c r="C731"/>
      <c r="D731"/>
      <c r="E731"/>
      <c r="F731"/>
      <c r="G731"/>
      <c r="H731" s="489">
        <f>SUBTOTAL(9,H5:H730)</f>
        <v>288179407.22500014</v>
      </c>
      <c r="I731" s="489">
        <f>SUBTOTAL(9,I5:I730)</f>
        <v>299372544.54749912</v>
      </c>
      <c r="J731"/>
      <c r="L731" s="489">
        <f>SUBTOTAL(9,L5:L730)</f>
        <v>288179407.22500014</v>
      </c>
      <c r="M731" s="489">
        <f>SUBTOTAL(9,M5:M730)</f>
        <v>0</v>
      </c>
      <c r="N731" s="481"/>
    </row>
    <row r="732" spans="1:14">
      <c r="A732"/>
      <c r="B732"/>
      <c r="C732"/>
      <c r="D732"/>
      <c r="E732"/>
      <c r="F732"/>
      <c r="G732"/>
      <c r="H732"/>
      <c r="I732"/>
      <c r="J732"/>
    </row>
    <row r="733" spans="1:14">
      <c r="A733"/>
      <c r="B733"/>
      <c r="C733"/>
      <c r="D733"/>
      <c r="E733"/>
      <c r="F733"/>
      <c r="G733"/>
      <c r="H733"/>
      <c r="I733"/>
      <c r="J733"/>
    </row>
    <row r="734" spans="1:14">
      <c r="A734"/>
      <c r="B734"/>
      <c r="C734"/>
      <c r="D734"/>
      <c r="E734"/>
      <c r="F734"/>
      <c r="G734"/>
      <c r="H734"/>
      <c r="I734"/>
      <c r="J734"/>
    </row>
    <row r="735" spans="1:14">
      <c r="A735"/>
      <c r="B735"/>
      <c r="C735"/>
      <c r="D735"/>
      <c r="E735"/>
      <c r="F735"/>
      <c r="G735"/>
      <c r="H735"/>
      <c r="I735"/>
      <c r="J735"/>
    </row>
    <row r="736" spans="1:14">
      <c r="A736"/>
      <c r="B736"/>
      <c r="C736"/>
      <c r="D736"/>
      <c r="E736"/>
      <c r="F736"/>
      <c r="G736"/>
      <c r="H736"/>
      <c r="I736"/>
      <c r="J736"/>
    </row>
    <row r="737" spans="1:10">
      <c r="A737"/>
      <c r="B737"/>
      <c r="C737"/>
      <c r="D737"/>
      <c r="E737"/>
      <c r="F737"/>
      <c r="G737"/>
      <c r="H737"/>
      <c r="I737"/>
      <c r="J737"/>
    </row>
    <row r="738" spans="1:10">
      <c r="A738"/>
      <c r="B738"/>
      <c r="C738"/>
      <c r="D738"/>
      <c r="E738"/>
      <c r="F738"/>
      <c r="G738"/>
      <c r="H738"/>
      <c r="I738"/>
      <c r="J738"/>
    </row>
    <row r="739" spans="1:10">
      <c r="A739"/>
      <c r="B739"/>
      <c r="C739"/>
      <c r="D739"/>
      <c r="E739"/>
      <c r="F739"/>
      <c r="G739"/>
      <c r="H739"/>
      <c r="I739"/>
      <c r="J739"/>
    </row>
    <row r="740" spans="1:10">
      <c r="A740"/>
      <c r="B740"/>
      <c r="C740"/>
      <c r="D740"/>
      <c r="E740"/>
      <c r="F740"/>
      <c r="G740"/>
      <c r="H740"/>
      <c r="I740"/>
      <c r="J740"/>
    </row>
    <row r="741" spans="1:10">
      <c r="A741"/>
      <c r="B741"/>
      <c r="C741"/>
      <c r="D741"/>
      <c r="E741"/>
      <c r="F741"/>
      <c r="G741"/>
      <c r="H741"/>
      <c r="I741"/>
      <c r="J741"/>
    </row>
    <row r="742" spans="1:10">
      <c r="A742"/>
      <c r="B742"/>
      <c r="C742"/>
      <c r="D742"/>
      <c r="E742"/>
      <c r="F742"/>
      <c r="G742"/>
      <c r="H742"/>
      <c r="I742"/>
      <c r="J742"/>
    </row>
    <row r="743" spans="1:10">
      <c r="A743"/>
      <c r="B743"/>
      <c r="C743"/>
      <c r="D743"/>
      <c r="E743"/>
      <c r="F743"/>
      <c r="G743"/>
      <c r="H743"/>
      <c r="I743"/>
      <c r="J743"/>
    </row>
    <row r="744" spans="1:10">
      <c r="A744"/>
      <c r="B744"/>
      <c r="C744"/>
      <c r="D744"/>
      <c r="E744"/>
      <c r="F744"/>
      <c r="G744"/>
      <c r="H744"/>
      <c r="I744"/>
      <c r="J744"/>
    </row>
    <row r="745" spans="1:10">
      <c r="A745"/>
      <c r="B745"/>
      <c r="C745"/>
      <c r="D745"/>
      <c r="E745"/>
      <c r="F745"/>
      <c r="G745"/>
      <c r="H745"/>
      <c r="I745"/>
      <c r="J745"/>
    </row>
    <row r="746" spans="1:10">
      <c r="A746"/>
      <c r="B746"/>
      <c r="C746"/>
      <c r="D746"/>
      <c r="E746"/>
      <c r="F746"/>
      <c r="G746"/>
      <c r="H746"/>
      <c r="I746"/>
      <c r="J746"/>
    </row>
    <row r="747" spans="1:10">
      <c r="A747"/>
      <c r="B747"/>
      <c r="C747"/>
      <c r="D747"/>
      <c r="E747"/>
      <c r="F747"/>
      <c r="G747"/>
      <c r="H747"/>
      <c r="I747"/>
      <c r="J747"/>
    </row>
    <row r="748" spans="1:10">
      <c r="A748"/>
      <c r="B748"/>
      <c r="C748"/>
      <c r="D748"/>
      <c r="E748"/>
      <c r="F748"/>
      <c r="G748"/>
      <c r="H748"/>
      <c r="I748"/>
      <c r="J748"/>
    </row>
    <row r="749" spans="1:10">
      <c r="A749"/>
      <c r="B749"/>
      <c r="C749"/>
      <c r="D749"/>
      <c r="E749"/>
      <c r="F749"/>
      <c r="G749"/>
      <c r="H749"/>
      <c r="I749"/>
      <c r="J749"/>
    </row>
    <row r="750" spans="1:10">
      <c r="A750"/>
      <c r="B750"/>
      <c r="C750"/>
      <c r="D750"/>
      <c r="E750"/>
      <c r="F750"/>
      <c r="G750"/>
      <c r="H750"/>
      <c r="I750"/>
      <c r="J750"/>
    </row>
    <row r="751" spans="1:10">
      <c r="A751"/>
      <c r="B751"/>
      <c r="C751"/>
      <c r="D751"/>
      <c r="E751"/>
      <c r="F751"/>
      <c r="G751"/>
      <c r="H751"/>
      <c r="I751"/>
      <c r="J751"/>
    </row>
    <row r="752" spans="1:10">
      <c r="A752"/>
      <c r="B752"/>
      <c r="C752"/>
      <c r="D752"/>
      <c r="E752"/>
      <c r="F752"/>
      <c r="G752"/>
      <c r="H752"/>
      <c r="I752"/>
      <c r="J752"/>
    </row>
    <row r="753" spans="1:10">
      <c r="A753"/>
      <c r="B753"/>
      <c r="C753"/>
      <c r="D753"/>
      <c r="E753"/>
      <c r="F753"/>
      <c r="G753"/>
      <c r="H753"/>
      <c r="I753"/>
      <c r="J753"/>
    </row>
    <row r="754" spans="1:10">
      <c r="A754"/>
      <c r="B754"/>
      <c r="C754"/>
      <c r="D754"/>
      <c r="E754"/>
      <c r="F754"/>
      <c r="G754"/>
      <c r="H754"/>
      <c r="I754"/>
      <c r="J754"/>
    </row>
  </sheetData>
  <sortState xmlns:xlrd2="http://schemas.microsoft.com/office/spreadsheetml/2017/richdata2" ref="A5:J704">
    <sortCondition ref="B5:B704" customList="CP,ELD,CAR TOP BOX,승강로부품,CABLE,의장 BD,옵션 BD"/>
    <sortCondition ref="C5:C704"/>
    <sortCondition ref="E5:E704"/>
  </sortState>
  <phoneticPr fontId="1" type="noConversion"/>
  <conditionalFormatting sqref="E1:E4 E732:E1048576">
    <cfRule type="duplicateValues" dxfId="2" priority="5"/>
  </conditionalFormatting>
  <conditionalFormatting sqref="M5:M730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AB17-AE57-452A-962C-A1F199984E15}">
  <sheetPr codeName="Sheet4"/>
  <dimension ref="B2:AN35"/>
  <sheetViews>
    <sheetView workbookViewId="0"/>
  </sheetViews>
  <sheetFormatPr defaultColWidth="8.8984375" defaultRowHeight="17.399999999999999"/>
  <cols>
    <col min="3" max="3" width="3.59765625" customWidth="1"/>
    <col min="5" max="5" width="3.5" customWidth="1"/>
    <col min="7" max="7" width="4.09765625" customWidth="1"/>
    <col min="8" max="8" width="10.8984375" customWidth="1"/>
    <col min="9" max="9" width="1.59765625" customWidth="1"/>
    <col min="10" max="10" width="12.3984375" customWidth="1"/>
    <col min="11" max="11" width="1.59765625" customWidth="1"/>
    <col min="12" max="12" width="16.09765625" customWidth="1"/>
    <col min="13" max="13" width="3.8984375" customWidth="1"/>
    <col min="14" max="14" width="15.59765625" customWidth="1"/>
    <col min="15" max="15" width="4.09765625" customWidth="1"/>
    <col min="16" max="16" width="12" customWidth="1"/>
    <col min="17" max="17" width="2.8984375" customWidth="1"/>
    <col min="18" max="18" width="13" customWidth="1"/>
    <col min="19" max="19" width="2.8984375" customWidth="1"/>
    <col min="21" max="21" width="3.09765625" customWidth="1"/>
    <col min="22" max="22" width="16" customWidth="1"/>
    <col min="23" max="23" width="4.09765625" customWidth="1"/>
    <col min="24" max="24" width="17" customWidth="1"/>
    <col min="26" max="26" width="16.5" customWidth="1"/>
    <col min="30" max="30" width="15.8984375" bestFit="1" customWidth="1"/>
    <col min="32" max="32" width="13.59765625" customWidth="1"/>
    <col min="39" max="39" width="13" customWidth="1"/>
    <col min="40" max="40" width="12.3984375" customWidth="1"/>
  </cols>
  <sheetData>
    <row r="2" spans="2:40" ht="19.2">
      <c r="B2" s="1" t="s">
        <v>1829</v>
      </c>
      <c r="C2" s="1"/>
      <c r="D2" s="1" t="s">
        <v>1830</v>
      </c>
      <c r="E2" s="1"/>
      <c r="F2" s="1" t="s">
        <v>1831</v>
      </c>
      <c r="G2" s="1"/>
      <c r="H2" s="1" t="s">
        <v>1832</v>
      </c>
      <c r="J2" t="s">
        <v>1833</v>
      </c>
      <c r="L2" t="s">
        <v>1834</v>
      </c>
      <c r="N2" s="1" t="s">
        <v>76</v>
      </c>
      <c r="P2" t="s">
        <v>1835</v>
      </c>
      <c r="R2" t="s">
        <v>87</v>
      </c>
      <c r="T2" t="s">
        <v>84</v>
      </c>
      <c r="V2" t="s">
        <v>91</v>
      </c>
      <c r="X2" t="s">
        <v>95</v>
      </c>
      <c r="Z2" t="s">
        <v>1836</v>
      </c>
      <c r="AB2" s="313" t="s">
        <v>1837</v>
      </c>
      <c r="AD2" s="313" t="s">
        <v>1838</v>
      </c>
      <c r="AF2" s="313" t="s">
        <v>107</v>
      </c>
      <c r="AH2" s="313" t="s">
        <v>113</v>
      </c>
      <c r="AJ2" s="313" t="s">
        <v>2440</v>
      </c>
      <c r="AL2" s="76" t="s">
        <v>1839</v>
      </c>
    </row>
    <row r="3" spans="2:40">
      <c r="B3" s="1">
        <v>2</v>
      </c>
      <c r="D3" s="1">
        <v>60</v>
      </c>
      <c r="E3" s="1"/>
      <c r="F3" s="41">
        <v>550</v>
      </c>
      <c r="H3" t="s">
        <v>67</v>
      </c>
      <c r="J3" t="s">
        <v>1840</v>
      </c>
      <c r="L3" t="s">
        <v>1841</v>
      </c>
      <c r="N3" t="s">
        <v>1842</v>
      </c>
      <c r="P3" s="40">
        <v>2100</v>
      </c>
      <c r="R3" t="s">
        <v>1843</v>
      </c>
      <c r="T3" t="s">
        <v>1843</v>
      </c>
      <c r="V3" t="s">
        <v>1844</v>
      </c>
      <c r="X3" t="s">
        <v>1845</v>
      </c>
      <c r="Z3" t="s">
        <v>1814</v>
      </c>
      <c r="AB3" s="314" t="s">
        <v>1846</v>
      </c>
      <c r="AD3" s="314" t="s">
        <v>1846</v>
      </c>
      <c r="AF3" s="314" t="s">
        <v>1847</v>
      </c>
      <c r="AH3" s="314" t="s">
        <v>1848</v>
      </c>
      <c r="AJ3" s="314" t="s">
        <v>1854</v>
      </c>
    </row>
    <row r="4" spans="2:40">
      <c r="B4" s="1">
        <v>3</v>
      </c>
      <c r="D4" s="1">
        <v>90</v>
      </c>
      <c r="E4" s="1"/>
      <c r="F4" s="41">
        <v>600</v>
      </c>
      <c r="H4" t="s">
        <v>99</v>
      </c>
      <c r="J4" t="s">
        <v>1849</v>
      </c>
      <c r="L4" t="s">
        <v>1850</v>
      </c>
      <c r="N4" t="s">
        <v>1851</v>
      </c>
      <c r="P4" s="40">
        <v>2200</v>
      </c>
      <c r="R4" t="s">
        <v>1844</v>
      </c>
      <c r="T4" t="s">
        <v>1844</v>
      </c>
      <c r="V4" t="s">
        <v>1852</v>
      </c>
      <c r="X4" t="s">
        <v>1853</v>
      </c>
      <c r="Z4" t="s">
        <v>1816</v>
      </c>
      <c r="AB4" s="315" t="s">
        <v>1854</v>
      </c>
      <c r="AD4" s="315" t="s">
        <v>1854</v>
      </c>
      <c r="AF4" s="315" t="s">
        <v>1855</v>
      </c>
      <c r="AH4" s="315" t="s">
        <v>1856</v>
      </c>
      <c r="AJ4" s="315" t="s">
        <v>2441</v>
      </c>
      <c r="AL4" s="1" t="s">
        <v>1857</v>
      </c>
      <c r="AM4" s="1" t="s">
        <v>1858</v>
      </c>
      <c r="AN4" s="1" t="s">
        <v>1859</v>
      </c>
    </row>
    <row r="5" spans="2:40">
      <c r="B5" s="1">
        <v>4</v>
      </c>
      <c r="D5" s="1">
        <v>105</v>
      </c>
      <c r="E5" s="1"/>
      <c r="F5" s="41">
        <v>700</v>
      </c>
      <c r="H5" t="s">
        <v>1860</v>
      </c>
      <c r="J5" t="s">
        <v>1841</v>
      </c>
      <c r="P5" s="40">
        <v>2400</v>
      </c>
      <c r="V5" t="s">
        <v>1861</v>
      </c>
      <c r="Z5" t="s">
        <v>1818</v>
      </c>
      <c r="AF5" t="s">
        <v>1862</v>
      </c>
      <c r="AH5" s="314" t="s">
        <v>1863</v>
      </c>
      <c r="AL5" s="1">
        <v>60</v>
      </c>
      <c r="AM5" s="1">
        <v>4200</v>
      </c>
      <c r="AN5" s="1">
        <v>1200</v>
      </c>
    </row>
    <row r="6" spans="2:40">
      <c r="B6" s="1">
        <v>5</v>
      </c>
      <c r="D6" s="1">
        <v>120</v>
      </c>
      <c r="E6" s="1"/>
      <c r="F6" s="41">
        <v>750</v>
      </c>
      <c r="J6" t="s">
        <v>1850</v>
      </c>
      <c r="Z6" t="s">
        <v>1820</v>
      </c>
      <c r="AH6" s="315" t="s">
        <v>1864</v>
      </c>
      <c r="AL6" s="1">
        <v>90</v>
      </c>
      <c r="AM6" s="1">
        <v>4400</v>
      </c>
      <c r="AN6" s="1">
        <v>1350</v>
      </c>
    </row>
    <row r="7" spans="2:40">
      <c r="B7" s="1">
        <v>6</v>
      </c>
      <c r="D7" s="1">
        <v>150</v>
      </c>
      <c r="E7" s="1"/>
      <c r="F7" s="41">
        <v>900</v>
      </c>
      <c r="J7" t="s">
        <v>1860</v>
      </c>
      <c r="Z7" t="s">
        <v>1822</v>
      </c>
      <c r="AH7" t="s">
        <v>1854</v>
      </c>
      <c r="AL7" s="1">
        <v>105</v>
      </c>
      <c r="AM7" s="1">
        <v>4500</v>
      </c>
      <c r="AN7" s="1">
        <v>1350</v>
      </c>
    </row>
    <row r="8" spans="2:40">
      <c r="B8" s="1">
        <v>7</v>
      </c>
      <c r="D8" s="1"/>
      <c r="E8" s="1"/>
      <c r="F8" s="41">
        <v>1000</v>
      </c>
      <c r="J8" t="s">
        <v>1840</v>
      </c>
      <c r="L8" t="s">
        <v>1865</v>
      </c>
      <c r="N8" s="1" t="s">
        <v>1866</v>
      </c>
      <c r="Z8" t="s">
        <v>1825</v>
      </c>
      <c r="AC8" t="s">
        <v>1867</v>
      </c>
      <c r="AD8">
        <f>IF(AND('DROP DOWN 지정'!$C$8&lt;=150,'DROP DOWN 지정'!$C$6&lt;=50),1.25,1.1)</f>
        <v>1.25</v>
      </c>
      <c r="AL8" s="1">
        <v>120</v>
      </c>
      <c r="AM8" s="1">
        <v>4550</v>
      </c>
      <c r="AN8" s="1">
        <v>2050</v>
      </c>
    </row>
    <row r="9" spans="2:40">
      <c r="B9" s="1">
        <v>8</v>
      </c>
      <c r="D9" s="1"/>
      <c r="E9" s="1"/>
      <c r="F9" s="41">
        <v>1150</v>
      </c>
      <c r="J9" t="s">
        <v>1849</v>
      </c>
      <c r="L9" t="s">
        <v>1868</v>
      </c>
      <c r="N9" t="s">
        <v>1869</v>
      </c>
      <c r="Z9" t="s">
        <v>1870</v>
      </c>
      <c r="AC9" t="s">
        <v>1871</v>
      </c>
      <c r="AD9">
        <f>IF('DROP DOWN 지정'!$C$8&lt;=120,1,4)</f>
        <v>1</v>
      </c>
      <c r="AL9" s="1">
        <v>150</v>
      </c>
      <c r="AM9" s="1">
        <v>4800</v>
      </c>
      <c r="AN9" s="1">
        <v>2200</v>
      </c>
    </row>
    <row r="10" spans="2:40">
      <c r="B10" s="1">
        <v>9</v>
      </c>
      <c r="D10" s="1"/>
      <c r="E10" s="1"/>
      <c r="F10" s="41">
        <v>1200</v>
      </c>
      <c r="L10" t="s">
        <v>1872</v>
      </c>
      <c r="N10" t="s">
        <v>102</v>
      </c>
      <c r="Z10" t="s">
        <v>1873</v>
      </c>
    </row>
    <row r="11" spans="2:40">
      <c r="B11" s="1">
        <v>10</v>
      </c>
      <c r="D11" s="1"/>
      <c r="E11" s="1"/>
      <c r="F11" s="41">
        <v>1350</v>
      </c>
      <c r="L11" t="s">
        <v>1874</v>
      </c>
      <c r="V11" t="s">
        <v>1875</v>
      </c>
      <c r="X11" t="s">
        <v>1876</v>
      </c>
      <c r="Z11" t="s">
        <v>1877</v>
      </c>
      <c r="AB11" t="s">
        <v>1878</v>
      </c>
      <c r="AC11" t="s">
        <v>1879</v>
      </c>
      <c r="AD11">
        <f>$AD$8*('사양 입력'!$C$6*1+$AD$9*1)</f>
        <v>21.25</v>
      </c>
      <c r="AF11" t="s">
        <v>1880</v>
      </c>
      <c r="AG11">
        <f>IF(AD11&lt;=20,20,IF(AND(AD11&gt;20,AD11&lt;=30),30,IF(AND(AD11&gt;30,AD11&lt;=40),40,IF(AND(AD11&gt;40,AD11&lt;=50),50,IF(AND(AD11&gt;50,AD11&lt;=60),60,IF(AND(AD11&gt;60,AD11&lt;=75),75,FALSE))))))</f>
        <v>30</v>
      </c>
    </row>
    <row r="12" spans="2:40">
      <c r="B12" s="1">
        <v>11</v>
      </c>
      <c r="D12" s="1"/>
      <c r="E12" s="1"/>
      <c r="F12" s="41">
        <v>1600</v>
      </c>
      <c r="L12" t="s">
        <v>1881</v>
      </c>
      <c r="V12" t="s">
        <v>1882</v>
      </c>
      <c r="X12" t="s">
        <v>1883</v>
      </c>
    </row>
    <row r="13" spans="2:40">
      <c r="B13" s="1">
        <v>12</v>
      </c>
      <c r="D13" s="1"/>
      <c r="E13" s="1"/>
      <c r="F13" s="41">
        <v>1800</v>
      </c>
      <c r="O13" s="36"/>
      <c r="P13" s="37"/>
      <c r="V13" t="s">
        <v>1884</v>
      </c>
      <c r="X13" t="s">
        <v>1885</v>
      </c>
    </row>
    <row r="14" spans="2:40" ht="19.2">
      <c r="B14" s="1">
        <v>13</v>
      </c>
      <c r="D14" s="1"/>
      <c r="E14" s="1"/>
      <c r="F14" s="41">
        <v>2000</v>
      </c>
      <c r="O14" s="38"/>
      <c r="P14" s="39"/>
      <c r="V14" t="s">
        <v>1886</v>
      </c>
      <c r="X14" t="s">
        <v>1887</v>
      </c>
      <c r="AL14" s="76" t="s">
        <v>1888</v>
      </c>
    </row>
    <row r="15" spans="2:40">
      <c r="B15" s="1">
        <v>14</v>
      </c>
      <c r="E15" s="1"/>
      <c r="F15" s="41">
        <v>2500</v>
      </c>
      <c r="O15" s="38"/>
      <c r="P15" s="39"/>
    </row>
    <row r="16" spans="2:40">
      <c r="B16" s="1">
        <v>15</v>
      </c>
      <c r="E16" s="1"/>
      <c r="F16" s="1"/>
      <c r="N16" s="1" t="s">
        <v>1889</v>
      </c>
      <c r="AL16" s="1" t="s">
        <v>1857</v>
      </c>
      <c r="AM16" s="1" t="s">
        <v>1858</v>
      </c>
      <c r="AN16" s="1" t="s">
        <v>1859</v>
      </c>
    </row>
    <row r="17" spans="2:40">
      <c r="B17" s="1">
        <v>16</v>
      </c>
      <c r="N17" t="s">
        <v>1890</v>
      </c>
      <c r="AL17" s="1">
        <v>60</v>
      </c>
      <c r="AM17" s="1">
        <v>4350</v>
      </c>
      <c r="AN17" s="1">
        <v>1250</v>
      </c>
    </row>
    <row r="18" spans="2:40">
      <c r="B18" s="1">
        <v>17</v>
      </c>
      <c r="N18" t="s">
        <v>1891</v>
      </c>
      <c r="V18" t="s">
        <v>1892</v>
      </c>
      <c r="X18" t="s">
        <v>1893</v>
      </c>
      <c r="AL18" s="1">
        <v>90</v>
      </c>
      <c r="AM18" s="1">
        <v>4500</v>
      </c>
      <c r="AN18" s="1">
        <v>1400</v>
      </c>
    </row>
    <row r="19" spans="2:40">
      <c r="B19" s="1">
        <v>18</v>
      </c>
      <c r="V19" t="s">
        <v>1894</v>
      </c>
      <c r="X19" t="s">
        <v>1895</v>
      </c>
      <c r="AL19" s="1">
        <v>105</v>
      </c>
      <c r="AM19" s="1">
        <v>4550</v>
      </c>
      <c r="AN19" s="1">
        <v>1450</v>
      </c>
    </row>
    <row r="20" spans="2:40">
      <c r="B20" s="1">
        <v>19</v>
      </c>
      <c r="V20" t="s">
        <v>1896</v>
      </c>
      <c r="X20" t="s">
        <v>1897</v>
      </c>
      <c r="AL20" s="1">
        <v>120</v>
      </c>
      <c r="AM20" s="1">
        <v>4900</v>
      </c>
      <c r="AN20" s="1">
        <v>1900</v>
      </c>
    </row>
    <row r="21" spans="2:40">
      <c r="B21" s="1">
        <v>20</v>
      </c>
      <c r="V21" t="s">
        <v>1898</v>
      </c>
      <c r="X21" t="s">
        <v>1899</v>
      </c>
      <c r="AL21" s="1">
        <v>150</v>
      </c>
      <c r="AM21" s="1">
        <v>5300</v>
      </c>
      <c r="AN21" s="1">
        <v>2200</v>
      </c>
    </row>
    <row r="22" spans="2:40">
      <c r="B22" s="1">
        <v>21</v>
      </c>
      <c r="V22" t="s">
        <v>1900</v>
      </c>
    </row>
    <row r="23" spans="2:40">
      <c r="B23" s="1">
        <v>22</v>
      </c>
      <c r="H23" t="s">
        <v>1901</v>
      </c>
    </row>
    <row r="24" spans="2:40">
      <c r="B24" s="1">
        <v>23</v>
      </c>
      <c r="H24" s="78">
        <f>IF('사양 입력'!$C$9&gt;340,('사양 입력'!$C$9/340)*'사양 입력'!$C$6,'사양 입력'!$C$6)</f>
        <v>16</v>
      </c>
    </row>
    <row r="25" spans="2:40" ht="19.2">
      <c r="B25" s="1">
        <v>24</v>
      </c>
      <c r="AL25" s="76" t="s">
        <v>1860</v>
      </c>
    </row>
    <row r="26" spans="2:40">
      <c r="B26" s="1">
        <v>25</v>
      </c>
    </row>
    <row r="27" spans="2:40">
      <c r="B27" s="1">
        <v>26</v>
      </c>
      <c r="V27" s="79" t="s">
        <v>1902</v>
      </c>
      <c r="W27" s="1" t="s">
        <v>1903</v>
      </c>
      <c r="AL27" s="1" t="s">
        <v>1857</v>
      </c>
      <c r="AM27" s="1" t="s">
        <v>1858</v>
      </c>
      <c r="AN27" s="1" t="s">
        <v>1859</v>
      </c>
    </row>
    <row r="28" spans="2:40">
      <c r="B28" s="1">
        <v>27</v>
      </c>
      <c r="V28" t="s">
        <v>475</v>
      </c>
      <c r="W28">
        <v>90</v>
      </c>
      <c r="X28">
        <f>IF('사양 입력'!$J$5='DROP DOWN 지정'!V28,'DROP DOWN 지정'!W28*'사양 입력'!$K$5,0)</f>
        <v>0</v>
      </c>
      <c r="AL28" s="1">
        <v>60</v>
      </c>
      <c r="AM28" s="1">
        <v>4350</v>
      </c>
      <c r="AN28" s="1">
        <v>1250</v>
      </c>
    </row>
    <row r="29" spans="2:40">
      <c r="B29" s="1">
        <v>28</v>
      </c>
      <c r="V29" t="s">
        <v>74</v>
      </c>
      <c r="W29">
        <v>110</v>
      </c>
      <c r="X29">
        <f>IF('사양 입력'!$J$5='DROP DOWN 지정'!V29,'DROP DOWN 지정'!W29*'사양 입력'!$K$5,0)</f>
        <v>1540</v>
      </c>
      <c r="AL29" s="1">
        <v>90</v>
      </c>
      <c r="AM29" s="1">
        <v>4500</v>
      </c>
      <c r="AN29" s="1">
        <v>1400</v>
      </c>
    </row>
    <row r="30" spans="2:40">
      <c r="B30" s="1">
        <v>29</v>
      </c>
      <c r="V30" t="s">
        <v>480</v>
      </c>
      <c r="W30">
        <v>150</v>
      </c>
      <c r="X30">
        <f>IF('사양 입력'!$J$5='DROP DOWN 지정'!V30,'DROP DOWN 지정'!W30*'사양 입력'!$K$5,0)</f>
        <v>0</v>
      </c>
      <c r="AL30" s="1">
        <v>105</v>
      </c>
      <c r="AM30" s="1">
        <v>4550</v>
      </c>
      <c r="AN30" s="1">
        <v>1450</v>
      </c>
    </row>
    <row r="31" spans="2:40">
      <c r="B31" s="1">
        <v>30</v>
      </c>
      <c r="V31" t="s">
        <v>483</v>
      </c>
      <c r="W31">
        <v>85</v>
      </c>
      <c r="X31">
        <f>IF('사양 입력'!$J$7='DROP DOWN 지정'!V31,'DROP DOWN 지정'!W31*'사양 입력'!$K$7,0)</f>
        <v>0</v>
      </c>
    </row>
    <row r="32" spans="2:40">
      <c r="V32" t="s">
        <v>81</v>
      </c>
      <c r="W32">
        <v>85</v>
      </c>
      <c r="X32">
        <f>IF('사양 입력'!$J$7='DROP DOWN 지정'!V32,'DROP DOWN 지정'!W32*'사양 입력'!$K$7,0)</f>
        <v>85</v>
      </c>
    </row>
    <row r="33" spans="22:24">
      <c r="V33" t="s">
        <v>488</v>
      </c>
      <c r="W33">
        <v>220</v>
      </c>
      <c r="X33">
        <f>IF('사양 입력'!$J$7='DROP DOWN 지정'!V33,'DROP DOWN 지정'!W33*'사양 입력'!$K$7,0)</f>
        <v>0</v>
      </c>
    </row>
    <row r="34" spans="22:24">
      <c r="V34" t="s">
        <v>1904</v>
      </c>
      <c r="W34">
        <v>220</v>
      </c>
      <c r="X34">
        <f>W34*'사양 입력'!K10</f>
        <v>0</v>
      </c>
    </row>
    <row r="35" spans="22:24">
      <c r="V35" s="79" t="s">
        <v>1905</v>
      </c>
      <c r="W35" s="79"/>
      <c r="X35" s="79">
        <f>SUM(X28:X34)</f>
        <v>1625</v>
      </c>
    </row>
  </sheetData>
  <phoneticPr fontId="9" type="noConversion"/>
  <pageMargins left="0.7" right="0.7" top="0.75" bottom="0.75" header="0.3" footer="0.3"/>
  <pageSetup paperSize="9" orientation="portrait" r:id="rId1"/>
  <drawing r:id="rId2"/>
  <tableParts count="25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BC1B0-BEEC-4CB5-967E-979FF18F7A39}">
  <sheetPr codeName="Sheet6"/>
  <dimension ref="A1:AA259"/>
  <sheetViews>
    <sheetView zoomScale="70" zoomScaleNormal="70" workbookViewId="0">
      <selection sqref="A1:L1"/>
    </sheetView>
  </sheetViews>
  <sheetFormatPr defaultColWidth="8.8984375" defaultRowHeight="17.399999999999999"/>
  <cols>
    <col min="1" max="1" width="6.59765625" bestFit="1" customWidth="1"/>
    <col min="2" max="2" width="25.59765625" customWidth="1"/>
    <col min="3" max="3" width="8.59765625" style="1" bestFit="1" customWidth="1"/>
    <col min="4" max="4" width="22.5" style="1" customWidth="1"/>
    <col min="5" max="5" width="18.8984375" style="1" customWidth="1"/>
    <col min="6" max="6" width="11.8984375" bestFit="1" customWidth="1"/>
    <col min="7" max="7" width="6.59765625" bestFit="1" customWidth="1"/>
    <col min="8" max="9" width="14.3984375" bestFit="1" customWidth="1"/>
    <col min="10" max="10" width="11.59765625" bestFit="1" customWidth="1"/>
    <col min="11" max="11" width="13.5" bestFit="1" customWidth="1"/>
    <col min="12" max="12" width="55.8984375" customWidth="1"/>
    <col min="13" max="13" width="2.59765625" customWidth="1"/>
    <col min="15" max="15" width="16.5" bestFit="1" customWidth="1"/>
    <col min="19" max="19" width="14.09765625" customWidth="1"/>
    <col min="20" max="20" width="14" customWidth="1"/>
    <col min="21" max="21" width="54.8984375" customWidth="1"/>
    <col min="22" max="22" width="20.09765625" customWidth="1"/>
    <col min="23" max="23" width="30.59765625" customWidth="1"/>
    <col min="24" max="24" width="19.5" customWidth="1"/>
    <col min="25" max="25" width="20.5" customWidth="1"/>
    <col min="26" max="26" width="16" bestFit="1" customWidth="1"/>
    <col min="27" max="27" width="15.09765625" customWidth="1"/>
  </cols>
  <sheetData>
    <row r="1" spans="1:27" ht="33" customHeight="1">
      <c r="A1" s="522" t="s">
        <v>746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</row>
    <row r="2" spans="1:27" ht="17.25" customHeight="1">
      <c r="A2" s="523">
        <v>45000</v>
      </c>
      <c r="B2" s="524"/>
      <c r="C2" s="524"/>
      <c r="D2" s="524"/>
      <c r="E2" s="524"/>
      <c r="F2" s="524"/>
      <c r="G2" s="524"/>
      <c r="H2" s="524"/>
      <c r="I2" s="524"/>
      <c r="J2" s="524"/>
      <c r="K2" s="524"/>
      <c r="L2" s="524"/>
    </row>
    <row r="3" spans="1:27" ht="17.25" customHeight="1">
      <c r="A3" s="525" t="s">
        <v>1906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</row>
    <row r="4" spans="1:27" ht="17.25" customHeight="1">
      <c r="A4" s="526" t="s">
        <v>1907</v>
      </c>
      <c r="B4" s="526"/>
      <c r="C4" s="526"/>
      <c r="D4" s="526"/>
      <c r="E4" s="526"/>
      <c r="F4" s="526"/>
      <c r="G4" s="526"/>
      <c r="H4" s="526"/>
      <c r="I4" s="526"/>
      <c r="J4" s="526"/>
      <c r="K4" s="526"/>
      <c r="L4" s="526"/>
    </row>
    <row r="5" spans="1:27" ht="17.25" customHeight="1">
      <c r="A5" s="527" t="s">
        <v>1908</v>
      </c>
      <c r="B5" s="527"/>
      <c r="C5" s="527"/>
      <c r="D5" s="527"/>
      <c r="E5" s="527"/>
      <c r="F5" s="527"/>
      <c r="G5" s="527"/>
      <c r="H5" s="527"/>
      <c r="I5" s="527"/>
      <c r="J5" s="527"/>
      <c r="K5" s="527"/>
      <c r="L5" s="527"/>
    </row>
    <row r="6" spans="1:27" ht="17.25" customHeight="1">
      <c r="A6" s="521" t="s">
        <v>1909</v>
      </c>
      <c r="B6" s="521"/>
      <c r="C6" s="521"/>
      <c r="D6" s="521"/>
      <c r="E6" s="521"/>
      <c r="F6" s="521"/>
      <c r="G6" s="521"/>
      <c r="H6" s="521"/>
      <c r="I6" s="521"/>
      <c r="J6" s="521"/>
      <c r="K6" s="521"/>
      <c r="L6" s="521"/>
    </row>
    <row r="9" spans="1:27">
      <c r="A9" s="514" t="s">
        <v>1910</v>
      </c>
      <c r="B9" s="514"/>
      <c r="C9" s="514"/>
      <c r="D9" s="514"/>
      <c r="E9" s="514"/>
      <c r="F9" s="514"/>
      <c r="G9" s="514"/>
      <c r="H9" s="514"/>
      <c r="I9" s="514"/>
      <c r="J9" s="514"/>
      <c r="K9" s="514"/>
      <c r="L9" s="514"/>
    </row>
    <row r="10" spans="1:27">
      <c r="A10" s="515" t="s">
        <v>1911</v>
      </c>
      <c r="B10" s="517" t="s">
        <v>1912</v>
      </c>
      <c r="C10" s="517" t="s">
        <v>1913</v>
      </c>
      <c r="D10" s="517" t="s">
        <v>1914</v>
      </c>
      <c r="E10" s="19" t="s">
        <v>99</v>
      </c>
      <c r="F10" s="19" t="s">
        <v>1915</v>
      </c>
      <c r="G10" s="19" t="s">
        <v>739</v>
      </c>
      <c r="H10" s="19" t="s">
        <v>1916</v>
      </c>
      <c r="I10" s="26" t="s">
        <v>1917</v>
      </c>
      <c r="J10" s="19" t="s">
        <v>1918</v>
      </c>
      <c r="K10" s="19" t="s">
        <v>1919</v>
      </c>
      <c r="L10" s="519" t="s">
        <v>1920</v>
      </c>
    </row>
    <row r="11" spans="1:27">
      <c r="A11" s="516"/>
      <c r="B11" s="518"/>
      <c r="C11" s="518"/>
      <c r="D11" s="518"/>
      <c r="E11" s="21" t="s">
        <v>1921</v>
      </c>
      <c r="F11" s="27" t="s">
        <v>1922</v>
      </c>
      <c r="G11" s="21" t="s">
        <v>1831</v>
      </c>
      <c r="H11" s="21" t="s">
        <v>1923</v>
      </c>
      <c r="I11" s="28" t="s">
        <v>1924</v>
      </c>
      <c r="J11" s="27" t="s">
        <v>1925</v>
      </c>
      <c r="K11" s="21" t="s">
        <v>1926</v>
      </c>
      <c r="L11" s="520"/>
      <c r="V11" t="s">
        <v>1927</v>
      </c>
      <c r="W11" t="s">
        <v>119</v>
      </c>
      <c r="X11" t="s">
        <v>1928</v>
      </c>
      <c r="Y11" t="s">
        <v>1929</v>
      </c>
      <c r="Z11" t="s">
        <v>220</v>
      </c>
      <c r="AA11" t="s">
        <v>1930</v>
      </c>
    </row>
    <row r="12" spans="1:27">
      <c r="A12" s="5">
        <f t="shared" ref="A12:A76" ca="1" si="0">OFFSET(A12,-1,)+1</f>
        <v>1</v>
      </c>
      <c r="B12" s="22" t="s">
        <v>1931</v>
      </c>
      <c r="C12" s="22" t="s">
        <v>746</v>
      </c>
      <c r="D12" s="22" t="s">
        <v>1932</v>
      </c>
      <c r="E12" s="22"/>
      <c r="F12" s="22" t="s">
        <v>1933</v>
      </c>
      <c r="G12" s="22" t="s">
        <v>1285</v>
      </c>
      <c r="H12" s="22" t="s">
        <v>1934</v>
      </c>
      <c r="I12" s="29" t="s">
        <v>1840</v>
      </c>
      <c r="J12" s="42"/>
      <c r="K12" s="42"/>
      <c r="L12" s="6" t="str">
        <f>F12&amp;", "&amp;G12&amp;", "&amp;H12&amp;", "&amp;I12&amp;", "&amp;J12&amp;", "&amp;K12</f>
        <v xml:space="preserve">일반, 7.5KW, SINCOS, GI+PAINT, , </v>
      </c>
      <c r="N12" t="s">
        <v>67</v>
      </c>
      <c r="O12" t="str">
        <f>I12</f>
        <v>GI+PAINT</v>
      </c>
      <c r="P12" t="s">
        <v>77</v>
      </c>
      <c r="R12" t="str">
        <f>G12</f>
        <v>7.5KW</v>
      </c>
      <c r="S12" t="str">
        <f>H12</f>
        <v>SINCOS</v>
      </c>
      <c r="U12" t="str">
        <f>N12&amp;O12&amp;P12&amp;Q12&amp;R12&amp;S12&amp;T12</f>
        <v>MRGI+PAINT일반형7.5KWSINCOS</v>
      </c>
      <c r="V12" t="str">
        <f>D12</f>
        <v>20410985G0100</v>
      </c>
      <c r="W12" t="str">
        <f>B12</f>
        <v>WBLX-SE 일반형 (ELD일체형)</v>
      </c>
      <c r="X12" t="s">
        <v>1935</v>
      </c>
      <c r="Y12" s="1" t="s">
        <v>1936</v>
      </c>
      <c r="Z12" t="s">
        <v>1937</v>
      </c>
      <c r="AA12" t="s">
        <v>1938</v>
      </c>
    </row>
    <row r="13" spans="1:27">
      <c r="A13" s="5">
        <f t="shared" ca="1" si="0"/>
        <v>2</v>
      </c>
      <c r="B13" s="1" t="s">
        <v>1931</v>
      </c>
      <c r="C13" s="1" t="s">
        <v>746</v>
      </c>
      <c r="D13" s="1" t="s">
        <v>1939</v>
      </c>
      <c r="F13" s="1" t="s">
        <v>1933</v>
      </c>
      <c r="G13" s="1" t="s">
        <v>1287</v>
      </c>
      <c r="H13" s="1" t="s">
        <v>1934</v>
      </c>
      <c r="I13" s="30" t="s">
        <v>1840</v>
      </c>
      <c r="L13" s="6" t="str">
        <f t="shared" ref="L13:L76" si="1">F13&amp;", "&amp;G13&amp;", "&amp;H13&amp;", "&amp;I13&amp;", "&amp;J13&amp;", "&amp;K13</f>
        <v xml:space="preserve">일반, 11KW, SINCOS, GI+PAINT, , </v>
      </c>
      <c r="N13" t="s">
        <v>67</v>
      </c>
      <c r="O13" t="str">
        <f t="shared" ref="O13:O27" si="2">I13</f>
        <v>GI+PAINT</v>
      </c>
      <c r="P13" t="s">
        <v>77</v>
      </c>
      <c r="R13" t="str">
        <f t="shared" ref="R13:R76" si="3">G13</f>
        <v>11KW</v>
      </c>
      <c r="S13" t="str">
        <f t="shared" ref="S13:S76" si="4">H13</f>
        <v>SINCOS</v>
      </c>
      <c r="U13" t="str">
        <f t="shared" ref="U13:U76" si="5">N13&amp;O13&amp;P13&amp;Q13&amp;R13&amp;S13&amp;T13</f>
        <v>MRGI+PAINT일반형11KWSINCOS</v>
      </c>
      <c r="V13" t="str">
        <f t="shared" ref="V13:V76" si="6">D13</f>
        <v>20410985G0200</v>
      </c>
      <c r="W13" t="str">
        <f t="shared" ref="W13:W76" si="7">B13</f>
        <v>WBLX-SE 일반형 (ELD일체형)</v>
      </c>
      <c r="X13" t="s">
        <v>1940</v>
      </c>
      <c r="Y13" s="1" t="s">
        <v>1941</v>
      </c>
      <c r="Z13" t="s">
        <v>1942</v>
      </c>
      <c r="AA13" t="s">
        <v>1943</v>
      </c>
    </row>
    <row r="14" spans="1:27">
      <c r="A14" s="5">
        <f t="shared" ca="1" si="0"/>
        <v>3</v>
      </c>
      <c r="B14" s="1" t="s">
        <v>1931</v>
      </c>
      <c r="C14" s="1" t="s">
        <v>746</v>
      </c>
      <c r="D14" s="1" t="s">
        <v>1944</v>
      </c>
      <c r="F14" s="1" t="s">
        <v>1933</v>
      </c>
      <c r="G14" s="1" t="s">
        <v>1289</v>
      </c>
      <c r="H14" s="1" t="s">
        <v>1934</v>
      </c>
      <c r="I14" s="30" t="s">
        <v>1840</v>
      </c>
      <c r="L14" s="6" t="str">
        <f t="shared" si="1"/>
        <v xml:space="preserve">일반, 15KW, SINCOS, GI+PAINT, , </v>
      </c>
      <c r="N14" t="s">
        <v>67</v>
      </c>
      <c r="O14" t="str">
        <f t="shared" si="2"/>
        <v>GI+PAINT</v>
      </c>
      <c r="P14" t="s">
        <v>77</v>
      </c>
      <c r="R14" t="str">
        <f t="shared" si="3"/>
        <v>15KW</v>
      </c>
      <c r="S14" t="str">
        <f t="shared" si="4"/>
        <v>SINCOS</v>
      </c>
      <c r="U14" t="str">
        <f t="shared" si="5"/>
        <v>MRGI+PAINT일반형15KWSINCOS</v>
      </c>
      <c r="V14" t="str">
        <f t="shared" si="6"/>
        <v>20410985G0300</v>
      </c>
      <c r="W14" t="str">
        <f t="shared" si="7"/>
        <v>WBLX-SE 일반형 (ELD일체형)</v>
      </c>
      <c r="X14" t="s">
        <v>1945</v>
      </c>
      <c r="Y14" s="1" t="s">
        <v>1946</v>
      </c>
      <c r="Z14" t="s">
        <v>1947</v>
      </c>
      <c r="AA14" t="s">
        <v>1948</v>
      </c>
    </row>
    <row r="15" spans="1:27">
      <c r="A15" s="5">
        <f t="shared" ca="1" si="0"/>
        <v>4</v>
      </c>
      <c r="B15" s="1" t="s">
        <v>1931</v>
      </c>
      <c r="C15" s="1" t="s">
        <v>746</v>
      </c>
      <c r="D15" s="1" t="s">
        <v>1949</v>
      </c>
      <c r="F15" s="1" t="s">
        <v>1933</v>
      </c>
      <c r="G15" s="1" t="s">
        <v>1291</v>
      </c>
      <c r="H15" s="1" t="s">
        <v>1934</v>
      </c>
      <c r="I15" s="30" t="s">
        <v>1840</v>
      </c>
      <c r="L15" s="6" t="str">
        <f t="shared" si="1"/>
        <v xml:space="preserve">일반, 22KW, SINCOS, GI+PAINT, , </v>
      </c>
      <c r="N15" t="s">
        <v>67</v>
      </c>
      <c r="O15" t="str">
        <f t="shared" si="2"/>
        <v>GI+PAINT</v>
      </c>
      <c r="P15" t="s">
        <v>77</v>
      </c>
      <c r="R15" t="str">
        <f t="shared" si="3"/>
        <v>22KW</v>
      </c>
      <c r="S15" t="str">
        <f t="shared" si="4"/>
        <v>SINCOS</v>
      </c>
      <c r="U15" t="str">
        <f t="shared" si="5"/>
        <v>MRGI+PAINT일반형22KWSINCOS</v>
      </c>
      <c r="V15" t="str">
        <f t="shared" si="6"/>
        <v>20410985G0400</v>
      </c>
      <c r="W15" t="str">
        <f t="shared" si="7"/>
        <v>WBLX-SE 일반형 (ELD일체형)</v>
      </c>
      <c r="X15" t="s">
        <v>1950</v>
      </c>
      <c r="Y15" s="1" t="s">
        <v>1951</v>
      </c>
      <c r="Z15" t="s">
        <v>1952</v>
      </c>
      <c r="AA15" t="s">
        <v>1953</v>
      </c>
    </row>
    <row r="16" spans="1:27">
      <c r="A16" s="5">
        <f t="shared" ca="1" si="0"/>
        <v>5</v>
      </c>
      <c r="B16" s="1" t="s">
        <v>1931</v>
      </c>
      <c r="C16" s="1" t="s">
        <v>746</v>
      </c>
      <c r="D16" s="1" t="s">
        <v>1954</v>
      </c>
      <c r="F16" s="1" t="s">
        <v>1933</v>
      </c>
      <c r="G16" s="1" t="s">
        <v>1013</v>
      </c>
      <c r="H16" s="1" t="s">
        <v>1955</v>
      </c>
      <c r="I16" s="30" t="s">
        <v>1840</v>
      </c>
      <c r="L16" s="6" t="str">
        <f t="shared" si="1"/>
        <v xml:space="preserve">일반, 7.5KW, INCREMENTAL, GI+PAINT, , </v>
      </c>
      <c r="N16" t="s">
        <v>67</v>
      </c>
      <c r="O16" t="str">
        <f t="shared" si="2"/>
        <v>GI+PAINT</v>
      </c>
      <c r="P16" t="s">
        <v>77</v>
      </c>
      <c r="R16" t="str">
        <f t="shared" si="3"/>
        <v>7.5KW</v>
      </c>
      <c r="S16" t="str">
        <f t="shared" si="4"/>
        <v>INCREMENTAL</v>
      </c>
      <c r="U16" t="str">
        <f t="shared" si="5"/>
        <v>MRGI+PAINT일반형7.5KWINCREMENTAL</v>
      </c>
      <c r="V16" t="str">
        <f t="shared" si="6"/>
        <v>20410985G0600</v>
      </c>
      <c r="W16" t="str">
        <f t="shared" si="7"/>
        <v>WBLX-SE 일반형 (ELD일체형)</v>
      </c>
      <c r="X16" t="s">
        <v>1956</v>
      </c>
      <c r="Y16" s="1" t="s">
        <v>1957</v>
      </c>
      <c r="Z16" t="s">
        <v>1937</v>
      </c>
      <c r="AA16" t="s">
        <v>1938</v>
      </c>
    </row>
    <row r="17" spans="1:27">
      <c r="A17" s="5">
        <f t="shared" ca="1" si="0"/>
        <v>6</v>
      </c>
      <c r="B17" s="1" t="s">
        <v>1931</v>
      </c>
      <c r="C17" s="1" t="s">
        <v>746</v>
      </c>
      <c r="D17" s="1" t="s">
        <v>1958</v>
      </c>
      <c r="F17" s="1" t="s">
        <v>1933</v>
      </c>
      <c r="G17" s="1" t="s">
        <v>1016</v>
      </c>
      <c r="H17" s="1" t="s">
        <v>1955</v>
      </c>
      <c r="I17" s="30" t="s">
        <v>1840</v>
      </c>
      <c r="L17" s="6" t="str">
        <f t="shared" si="1"/>
        <v xml:space="preserve">일반, 11KW, INCREMENTAL, GI+PAINT, , </v>
      </c>
      <c r="N17" t="s">
        <v>67</v>
      </c>
      <c r="O17" t="str">
        <f t="shared" si="2"/>
        <v>GI+PAINT</v>
      </c>
      <c r="P17" t="s">
        <v>77</v>
      </c>
      <c r="R17" t="str">
        <f t="shared" si="3"/>
        <v>11KW</v>
      </c>
      <c r="S17" t="str">
        <f t="shared" si="4"/>
        <v>INCREMENTAL</v>
      </c>
      <c r="U17" t="str">
        <f t="shared" si="5"/>
        <v>MRGI+PAINT일반형11KWINCREMENTAL</v>
      </c>
      <c r="V17" t="str">
        <f t="shared" si="6"/>
        <v>20410985G0700</v>
      </c>
      <c r="W17" t="str">
        <f t="shared" si="7"/>
        <v>WBLX-SE 일반형 (ELD일체형)</v>
      </c>
      <c r="X17" t="s">
        <v>1959</v>
      </c>
      <c r="Y17" s="1" t="s">
        <v>1960</v>
      </c>
      <c r="Z17" t="s">
        <v>1942</v>
      </c>
      <c r="AA17" t="s">
        <v>1961</v>
      </c>
    </row>
    <row r="18" spans="1:27">
      <c r="A18" s="5">
        <f t="shared" ca="1" si="0"/>
        <v>7</v>
      </c>
      <c r="B18" s="1" t="s">
        <v>1931</v>
      </c>
      <c r="C18" s="1" t="s">
        <v>746</v>
      </c>
      <c r="D18" s="1" t="s">
        <v>1962</v>
      </c>
      <c r="F18" s="1" t="s">
        <v>1933</v>
      </c>
      <c r="G18" s="1" t="s">
        <v>1018</v>
      </c>
      <c r="H18" s="1" t="s">
        <v>1955</v>
      </c>
      <c r="I18" s="30" t="s">
        <v>1840</v>
      </c>
      <c r="L18" s="6" t="str">
        <f t="shared" si="1"/>
        <v xml:space="preserve">일반, 15KW, INCREMENTAL, GI+PAINT, , </v>
      </c>
      <c r="N18" t="s">
        <v>67</v>
      </c>
      <c r="O18" t="str">
        <f t="shared" si="2"/>
        <v>GI+PAINT</v>
      </c>
      <c r="P18" t="s">
        <v>77</v>
      </c>
      <c r="R18" t="str">
        <f t="shared" si="3"/>
        <v>15KW</v>
      </c>
      <c r="S18" t="str">
        <f t="shared" si="4"/>
        <v>INCREMENTAL</v>
      </c>
      <c r="U18" t="str">
        <f t="shared" si="5"/>
        <v>MRGI+PAINT일반형15KWINCREMENTAL</v>
      </c>
      <c r="V18" t="str">
        <f t="shared" si="6"/>
        <v>20410985G0800</v>
      </c>
      <c r="W18" t="str">
        <f t="shared" si="7"/>
        <v>WBLX-SE 일반형 (ELD일체형)</v>
      </c>
      <c r="X18" t="s">
        <v>1963</v>
      </c>
      <c r="Y18" s="1" t="s">
        <v>1964</v>
      </c>
      <c r="Z18" t="s">
        <v>1947</v>
      </c>
      <c r="AA18" t="s">
        <v>1948</v>
      </c>
    </row>
    <row r="19" spans="1:27">
      <c r="A19" s="7">
        <f t="shared" ca="1" si="0"/>
        <v>8</v>
      </c>
      <c r="B19" s="23" t="s">
        <v>1931</v>
      </c>
      <c r="C19" s="23" t="s">
        <v>746</v>
      </c>
      <c r="D19" s="23" t="s">
        <v>1965</v>
      </c>
      <c r="E19" s="23"/>
      <c r="F19" s="23" t="s">
        <v>1933</v>
      </c>
      <c r="G19" s="23" t="s">
        <v>1020</v>
      </c>
      <c r="H19" s="23" t="s">
        <v>1955</v>
      </c>
      <c r="I19" s="31" t="s">
        <v>1840</v>
      </c>
      <c r="J19" s="43"/>
      <c r="K19" s="43"/>
      <c r="L19" s="6" t="str">
        <f t="shared" si="1"/>
        <v xml:space="preserve">일반, 22KW, INCREMENTAL, GI+PAINT, , </v>
      </c>
      <c r="N19" t="s">
        <v>67</v>
      </c>
      <c r="O19" t="str">
        <f t="shared" si="2"/>
        <v>GI+PAINT</v>
      </c>
      <c r="P19" t="s">
        <v>77</v>
      </c>
      <c r="R19" t="str">
        <f t="shared" si="3"/>
        <v>22KW</v>
      </c>
      <c r="S19" t="str">
        <f t="shared" si="4"/>
        <v>INCREMENTAL</v>
      </c>
      <c r="U19" t="str">
        <f t="shared" si="5"/>
        <v>MRGI+PAINT일반형22KWINCREMENTAL</v>
      </c>
      <c r="V19" t="str">
        <f t="shared" si="6"/>
        <v>20410985G0900</v>
      </c>
      <c r="W19" t="str">
        <f t="shared" si="7"/>
        <v>WBLX-SE 일반형 (ELD일체형)</v>
      </c>
      <c r="X19" t="s">
        <v>1966</v>
      </c>
      <c r="Y19" s="1" t="s">
        <v>1967</v>
      </c>
      <c r="Z19" t="s">
        <v>1952</v>
      </c>
      <c r="AA19" t="s">
        <v>1953</v>
      </c>
    </row>
    <row r="20" spans="1:27">
      <c r="A20" s="8">
        <f t="shared" ca="1" si="0"/>
        <v>9</v>
      </c>
      <c r="B20" s="22" t="s">
        <v>1968</v>
      </c>
      <c r="C20" s="22" t="s">
        <v>746</v>
      </c>
      <c r="D20" s="22" t="s">
        <v>1969</v>
      </c>
      <c r="E20" s="22"/>
      <c r="F20" s="22" t="s">
        <v>1970</v>
      </c>
      <c r="G20" s="22" t="s">
        <v>1285</v>
      </c>
      <c r="H20" s="22" t="s">
        <v>1934</v>
      </c>
      <c r="I20" s="29" t="s">
        <v>1840</v>
      </c>
      <c r="J20" s="42"/>
      <c r="K20" s="42"/>
      <c r="L20" s="6" t="str">
        <f t="shared" si="1"/>
        <v xml:space="preserve">PWM, 7.5KW, SINCOS, GI+PAINT, , </v>
      </c>
      <c r="N20" t="s">
        <v>67</v>
      </c>
      <c r="O20" t="str">
        <f t="shared" si="2"/>
        <v>GI+PAINT</v>
      </c>
      <c r="P20" t="s">
        <v>1971</v>
      </c>
      <c r="R20" t="str">
        <f t="shared" si="3"/>
        <v>7.5KW</v>
      </c>
      <c r="S20" t="str">
        <f t="shared" si="4"/>
        <v>SINCOS</v>
      </c>
      <c r="U20" t="str">
        <f t="shared" si="5"/>
        <v>MRGI+PAINT회생형7.5KWSINCOS</v>
      </c>
      <c r="V20" t="str">
        <f t="shared" si="6"/>
        <v>20410989G0100</v>
      </c>
      <c r="W20" t="str">
        <f t="shared" si="7"/>
        <v>WBLX-SE PWM (ELD일체형)</v>
      </c>
      <c r="X20" t="s">
        <v>1972</v>
      </c>
      <c r="Y20" s="1" t="s">
        <v>1973</v>
      </c>
      <c r="Z20" t="s">
        <v>1974</v>
      </c>
      <c r="AA20" s="1" t="s">
        <v>1975</v>
      </c>
    </row>
    <row r="21" spans="1:27">
      <c r="A21" s="5">
        <f t="shared" ca="1" si="0"/>
        <v>10</v>
      </c>
      <c r="B21" s="1" t="s">
        <v>1968</v>
      </c>
      <c r="C21" s="1" t="s">
        <v>746</v>
      </c>
      <c r="D21" s="1" t="s">
        <v>1976</v>
      </c>
      <c r="F21" s="1" t="s">
        <v>1970</v>
      </c>
      <c r="G21" s="1" t="s">
        <v>1287</v>
      </c>
      <c r="H21" s="1" t="s">
        <v>1934</v>
      </c>
      <c r="I21" s="30" t="s">
        <v>1840</v>
      </c>
      <c r="L21" s="6" t="str">
        <f t="shared" si="1"/>
        <v xml:space="preserve">PWM, 11KW, SINCOS, GI+PAINT, , </v>
      </c>
      <c r="N21" t="s">
        <v>67</v>
      </c>
      <c r="O21" t="str">
        <f t="shared" si="2"/>
        <v>GI+PAINT</v>
      </c>
      <c r="P21" t="s">
        <v>1971</v>
      </c>
      <c r="R21" t="str">
        <f t="shared" si="3"/>
        <v>11KW</v>
      </c>
      <c r="S21" t="str">
        <f t="shared" si="4"/>
        <v>SINCOS</v>
      </c>
      <c r="U21" t="str">
        <f t="shared" si="5"/>
        <v>MRGI+PAINT회생형11KWSINCOS</v>
      </c>
      <c r="V21" t="str">
        <f t="shared" si="6"/>
        <v>20410989G0200</v>
      </c>
      <c r="W21" t="str">
        <f t="shared" si="7"/>
        <v>WBLX-SE PWM (ELD일체형)</v>
      </c>
      <c r="X21" t="s">
        <v>1977</v>
      </c>
      <c r="Y21" s="1" t="s">
        <v>1978</v>
      </c>
      <c r="Z21" t="s">
        <v>1979</v>
      </c>
      <c r="AA21" s="1" t="s">
        <v>1980</v>
      </c>
    </row>
    <row r="22" spans="1:27">
      <c r="A22" s="5">
        <f t="shared" ca="1" si="0"/>
        <v>11</v>
      </c>
      <c r="B22" s="1" t="s">
        <v>1968</v>
      </c>
      <c r="C22" s="1" t="s">
        <v>746</v>
      </c>
      <c r="D22" s="1" t="s">
        <v>1981</v>
      </c>
      <c r="F22" s="1" t="s">
        <v>1970</v>
      </c>
      <c r="G22" s="1" t="s">
        <v>1289</v>
      </c>
      <c r="H22" s="1" t="s">
        <v>1934</v>
      </c>
      <c r="I22" s="30" t="s">
        <v>1840</v>
      </c>
      <c r="L22" s="6" t="str">
        <f t="shared" si="1"/>
        <v xml:space="preserve">PWM, 15KW, SINCOS, GI+PAINT, , </v>
      </c>
      <c r="N22" t="s">
        <v>67</v>
      </c>
      <c r="O22" t="str">
        <f t="shared" si="2"/>
        <v>GI+PAINT</v>
      </c>
      <c r="P22" t="s">
        <v>1971</v>
      </c>
      <c r="R22" t="str">
        <f t="shared" si="3"/>
        <v>15KW</v>
      </c>
      <c r="S22" t="str">
        <f t="shared" si="4"/>
        <v>SINCOS</v>
      </c>
      <c r="U22" t="str">
        <f t="shared" si="5"/>
        <v>MRGI+PAINT회생형15KWSINCOS</v>
      </c>
      <c r="V22" t="str">
        <f t="shared" si="6"/>
        <v>20410989G0300</v>
      </c>
      <c r="W22" t="str">
        <f t="shared" si="7"/>
        <v>WBLX-SE PWM (ELD일체형)</v>
      </c>
      <c r="X22" t="s">
        <v>1982</v>
      </c>
      <c r="Y22" s="1" t="s">
        <v>1983</v>
      </c>
      <c r="Z22" t="s">
        <v>1984</v>
      </c>
      <c r="AA22" s="1" t="s">
        <v>1985</v>
      </c>
    </row>
    <row r="23" spans="1:27">
      <c r="A23" s="5">
        <f t="shared" ca="1" si="0"/>
        <v>12</v>
      </c>
      <c r="B23" s="1" t="s">
        <v>1968</v>
      </c>
      <c r="C23" s="1" t="s">
        <v>746</v>
      </c>
      <c r="D23" s="1" t="s">
        <v>1986</v>
      </c>
      <c r="F23" s="1" t="s">
        <v>1970</v>
      </c>
      <c r="G23" s="1" t="s">
        <v>1291</v>
      </c>
      <c r="H23" s="1" t="s">
        <v>1934</v>
      </c>
      <c r="I23" s="30" t="s">
        <v>1840</v>
      </c>
      <c r="L23" s="6" t="str">
        <f t="shared" si="1"/>
        <v xml:space="preserve">PWM, 22KW, SINCOS, GI+PAINT, , </v>
      </c>
      <c r="N23" t="s">
        <v>67</v>
      </c>
      <c r="O23" t="str">
        <f t="shared" si="2"/>
        <v>GI+PAINT</v>
      </c>
      <c r="P23" t="s">
        <v>1971</v>
      </c>
      <c r="R23" t="str">
        <f t="shared" si="3"/>
        <v>22KW</v>
      </c>
      <c r="S23" t="str">
        <f t="shared" si="4"/>
        <v>SINCOS</v>
      </c>
      <c r="U23" t="str">
        <f t="shared" si="5"/>
        <v>MRGI+PAINT회생형22KWSINCOS</v>
      </c>
      <c r="V23" t="str">
        <f t="shared" si="6"/>
        <v>20410989G0400</v>
      </c>
      <c r="W23" t="str">
        <f t="shared" si="7"/>
        <v>WBLX-SE PWM (ELD일체형)</v>
      </c>
      <c r="X23" t="s">
        <v>1987</v>
      </c>
      <c r="Y23" s="1" t="s">
        <v>1988</v>
      </c>
      <c r="Z23" t="s">
        <v>1989</v>
      </c>
      <c r="AA23" s="1" t="s">
        <v>1990</v>
      </c>
    </row>
    <row r="24" spans="1:27">
      <c r="A24" s="5">
        <f t="shared" ca="1" si="0"/>
        <v>13</v>
      </c>
      <c r="B24" s="1" t="s">
        <v>1968</v>
      </c>
      <c r="C24" s="1" t="s">
        <v>746</v>
      </c>
      <c r="D24" s="1" t="s">
        <v>1991</v>
      </c>
      <c r="F24" s="1" t="s">
        <v>1970</v>
      </c>
      <c r="G24" s="1" t="s">
        <v>1013</v>
      </c>
      <c r="H24" s="1" t="s">
        <v>1955</v>
      </c>
      <c r="I24" s="30" t="s">
        <v>1840</v>
      </c>
      <c r="L24" s="6" t="str">
        <f t="shared" si="1"/>
        <v xml:space="preserve">PWM, 7.5KW, INCREMENTAL, GI+PAINT, , </v>
      </c>
      <c r="N24" t="s">
        <v>67</v>
      </c>
      <c r="O24" t="str">
        <f t="shared" si="2"/>
        <v>GI+PAINT</v>
      </c>
      <c r="P24" t="s">
        <v>1971</v>
      </c>
      <c r="R24" t="str">
        <f t="shared" si="3"/>
        <v>7.5KW</v>
      </c>
      <c r="S24" t="str">
        <f t="shared" si="4"/>
        <v>INCREMENTAL</v>
      </c>
      <c r="U24" t="str">
        <f t="shared" si="5"/>
        <v>MRGI+PAINT회생형7.5KWINCREMENTAL</v>
      </c>
      <c r="V24" t="str">
        <f t="shared" si="6"/>
        <v>20410989G0600</v>
      </c>
      <c r="W24" t="str">
        <f t="shared" si="7"/>
        <v>WBLX-SE PWM (ELD일체형)</v>
      </c>
      <c r="X24" s="1" t="s">
        <v>1992</v>
      </c>
      <c r="Y24" s="1" t="s">
        <v>1993</v>
      </c>
      <c r="Z24" t="s">
        <v>1974</v>
      </c>
      <c r="AA24" s="1" t="s">
        <v>1975</v>
      </c>
    </row>
    <row r="25" spans="1:27">
      <c r="A25" s="5">
        <f t="shared" ca="1" si="0"/>
        <v>14</v>
      </c>
      <c r="B25" s="1" t="s">
        <v>1968</v>
      </c>
      <c r="C25" s="1" t="s">
        <v>746</v>
      </c>
      <c r="D25" s="1" t="s">
        <v>1994</v>
      </c>
      <c r="F25" s="1" t="s">
        <v>1970</v>
      </c>
      <c r="G25" s="1" t="s">
        <v>1016</v>
      </c>
      <c r="H25" s="1" t="s">
        <v>1955</v>
      </c>
      <c r="I25" s="30" t="s">
        <v>1840</v>
      </c>
      <c r="L25" s="6" t="str">
        <f t="shared" si="1"/>
        <v xml:space="preserve">PWM, 11KW, INCREMENTAL, GI+PAINT, , </v>
      </c>
      <c r="N25" t="s">
        <v>67</v>
      </c>
      <c r="O25" t="str">
        <f t="shared" si="2"/>
        <v>GI+PAINT</v>
      </c>
      <c r="P25" t="s">
        <v>1971</v>
      </c>
      <c r="R25" t="str">
        <f>G25</f>
        <v>11KW</v>
      </c>
      <c r="S25" t="str">
        <f t="shared" si="4"/>
        <v>INCREMENTAL</v>
      </c>
      <c r="U25" t="str">
        <f t="shared" si="5"/>
        <v>MRGI+PAINT회생형11KWINCREMENTAL</v>
      </c>
      <c r="V25" t="str">
        <f t="shared" si="6"/>
        <v>20410989G0700</v>
      </c>
      <c r="W25" t="str">
        <f t="shared" si="7"/>
        <v>WBLX-SE PWM (ELD일체형)</v>
      </c>
      <c r="X25" s="1" t="s">
        <v>1995</v>
      </c>
      <c r="Y25" s="1" t="s">
        <v>1996</v>
      </c>
      <c r="Z25" t="s">
        <v>1979</v>
      </c>
      <c r="AA25" s="1" t="s">
        <v>1980</v>
      </c>
    </row>
    <row r="26" spans="1:27">
      <c r="A26" s="5">
        <f t="shared" ca="1" si="0"/>
        <v>15</v>
      </c>
      <c r="B26" s="1" t="s">
        <v>1968</v>
      </c>
      <c r="C26" s="1" t="s">
        <v>746</v>
      </c>
      <c r="D26" s="1" t="s">
        <v>1997</v>
      </c>
      <c r="F26" s="1" t="s">
        <v>1970</v>
      </c>
      <c r="G26" s="1" t="s">
        <v>1018</v>
      </c>
      <c r="H26" s="1" t="s">
        <v>1955</v>
      </c>
      <c r="I26" s="30" t="s">
        <v>1840</v>
      </c>
      <c r="L26" s="6" t="str">
        <f t="shared" si="1"/>
        <v xml:space="preserve">PWM, 15KW, INCREMENTAL, GI+PAINT, , </v>
      </c>
      <c r="N26" t="s">
        <v>67</v>
      </c>
      <c r="O26" t="str">
        <f t="shared" si="2"/>
        <v>GI+PAINT</v>
      </c>
      <c r="P26" t="s">
        <v>1971</v>
      </c>
      <c r="R26" t="str">
        <f t="shared" si="3"/>
        <v>15KW</v>
      </c>
      <c r="S26" t="str">
        <f t="shared" si="4"/>
        <v>INCREMENTAL</v>
      </c>
      <c r="U26" t="str">
        <f t="shared" si="5"/>
        <v>MRGI+PAINT회생형15KWINCREMENTAL</v>
      </c>
      <c r="V26" t="str">
        <f t="shared" si="6"/>
        <v>20410989G0800</v>
      </c>
      <c r="W26" t="str">
        <f t="shared" si="7"/>
        <v>WBLX-SE PWM (ELD일체형)</v>
      </c>
      <c r="X26" s="1" t="s">
        <v>1998</v>
      </c>
      <c r="Y26" s="1" t="s">
        <v>1999</v>
      </c>
      <c r="Z26" t="s">
        <v>1984</v>
      </c>
      <c r="AA26" s="1" t="s">
        <v>1985</v>
      </c>
    </row>
    <row r="27" spans="1:27">
      <c r="A27" s="7">
        <f t="shared" ca="1" si="0"/>
        <v>16</v>
      </c>
      <c r="B27" s="23" t="s">
        <v>1968</v>
      </c>
      <c r="C27" s="23" t="s">
        <v>746</v>
      </c>
      <c r="D27" s="23" t="s">
        <v>2000</v>
      </c>
      <c r="E27" s="23"/>
      <c r="F27" s="23" t="s">
        <v>1970</v>
      </c>
      <c r="G27" s="23" t="s">
        <v>1020</v>
      </c>
      <c r="H27" s="23" t="s">
        <v>1955</v>
      </c>
      <c r="I27" s="31" t="s">
        <v>1840</v>
      </c>
      <c r="J27" s="43"/>
      <c r="K27" s="43"/>
      <c r="L27" s="6" t="str">
        <f t="shared" si="1"/>
        <v xml:space="preserve">PWM, 22KW, INCREMENTAL, GI+PAINT, , </v>
      </c>
      <c r="N27" t="s">
        <v>67</v>
      </c>
      <c r="O27" t="str">
        <f t="shared" si="2"/>
        <v>GI+PAINT</v>
      </c>
      <c r="P27" t="s">
        <v>1971</v>
      </c>
      <c r="R27" t="str">
        <f t="shared" si="3"/>
        <v>22KW</v>
      </c>
      <c r="S27" t="str">
        <f t="shared" si="4"/>
        <v>INCREMENTAL</v>
      </c>
      <c r="U27" t="str">
        <f t="shared" si="5"/>
        <v>MRGI+PAINT회생형22KWINCREMENTAL</v>
      </c>
      <c r="V27" t="str">
        <f t="shared" si="6"/>
        <v>20410989G0900</v>
      </c>
      <c r="W27" t="str">
        <f t="shared" si="7"/>
        <v>WBLX-SE PWM (ELD일체형)</v>
      </c>
      <c r="X27" s="1" t="s">
        <v>2001</v>
      </c>
      <c r="Y27" s="1" t="s">
        <v>2002</v>
      </c>
      <c r="Z27" t="s">
        <v>1989</v>
      </c>
      <c r="AA27" s="1" t="s">
        <v>1990</v>
      </c>
    </row>
    <row r="28" spans="1:27">
      <c r="A28" s="9">
        <f t="shared" ca="1" si="0"/>
        <v>17</v>
      </c>
      <c r="B28" s="10" t="s">
        <v>2003</v>
      </c>
      <c r="C28" s="10" t="s">
        <v>746</v>
      </c>
      <c r="D28" s="10" t="s">
        <v>1047</v>
      </c>
      <c r="E28" s="10" t="s">
        <v>2004</v>
      </c>
      <c r="F28" s="10" t="s">
        <v>1933</v>
      </c>
      <c r="G28" s="10" t="s">
        <v>1013</v>
      </c>
      <c r="H28" s="10" t="s">
        <v>1934</v>
      </c>
      <c r="I28" s="29" t="s">
        <v>2005</v>
      </c>
      <c r="J28" s="10">
        <v>2100</v>
      </c>
      <c r="K28" s="10" t="s">
        <v>1845</v>
      </c>
      <c r="L28" s="6" t="str">
        <f t="shared" si="1"/>
        <v>일반, 7.5KW, SINCOS, ALL SUS, 2100, LEFT HINGE</v>
      </c>
      <c r="N28" t="s">
        <v>99</v>
      </c>
      <c r="O28" t="s">
        <v>2006</v>
      </c>
      <c r="P28" t="s">
        <v>77</v>
      </c>
      <c r="Q28">
        <f t="shared" ref="Q28:Q76" si="8">J28</f>
        <v>2100</v>
      </c>
      <c r="R28" t="str">
        <f t="shared" si="3"/>
        <v>7.5KW</v>
      </c>
      <c r="S28" t="str">
        <f t="shared" si="4"/>
        <v>SINCOS</v>
      </c>
      <c r="T28" t="str">
        <f t="shared" ref="T28:T76" si="9">K28</f>
        <v>LEFT HINGE</v>
      </c>
      <c r="U28" t="str">
        <f t="shared" si="5"/>
        <v>MRLALL SUS-HL일반형21007.5KWSINCOSLEFT HINGE</v>
      </c>
      <c r="V28" t="str">
        <f t="shared" si="6"/>
        <v>20410987G0100</v>
      </c>
      <c r="W28" t="str">
        <f t="shared" si="7"/>
        <v>WBSS-SE 일반형</v>
      </c>
      <c r="X28" t="s">
        <v>1935</v>
      </c>
      <c r="Y28" s="1" t="s">
        <v>1936</v>
      </c>
      <c r="Z28" t="s">
        <v>1937</v>
      </c>
      <c r="AA28" s="22" t="s">
        <v>2007</v>
      </c>
    </row>
    <row r="29" spans="1:27">
      <c r="A29" s="11">
        <f t="shared" ca="1" si="0"/>
        <v>18</v>
      </c>
      <c r="B29" s="24" t="s">
        <v>2003</v>
      </c>
      <c r="C29" s="24" t="s">
        <v>746</v>
      </c>
      <c r="D29" s="24" t="s">
        <v>2008</v>
      </c>
      <c r="E29" s="24" t="s">
        <v>2004</v>
      </c>
      <c r="F29" s="24" t="s">
        <v>1933</v>
      </c>
      <c r="G29" s="24" t="s">
        <v>1016</v>
      </c>
      <c r="H29" s="24" t="s">
        <v>1934</v>
      </c>
      <c r="I29" s="30" t="s">
        <v>2005</v>
      </c>
      <c r="J29" s="24">
        <v>2100</v>
      </c>
      <c r="K29" s="24" t="s">
        <v>1845</v>
      </c>
      <c r="L29" s="6" t="str">
        <f t="shared" si="1"/>
        <v>일반, 11KW, SINCOS, ALL SUS, 2100, LEFT HINGE</v>
      </c>
      <c r="N29" t="s">
        <v>99</v>
      </c>
      <c r="O29" t="s">
        <v>2006</v>
      </c>
      <c r="P29" t="s">
        <v>77</v>
      </c>
      <c r="Q29">
        <f t="shared" si="8"/>
        <v>2100</v>
      </c>
      <c r="R29" t="str">
        <f t="shared" si="3"/>
        <v>11KW</v>
      </c>
      <c r="S29" t="str">
        <f t="shared" si="4"/>
        <v>SINCOS</v>
      </c>
      <c r="T29" t="str">
        <f t="shared" si="9"/>
        <v>LEFT HINGE</v>
      </c>
      <c r="U29" t="str">
        <f t="shared" si="5"/>
        <v>MRLALL SUS-HL일반형210011KWSINCOSLEFT HINGE</v>
      </c>
      <c r="V29" t="str">
        <f t="shared" si="6"/>
        <v>20410987G0200</v>
      </c>
      <c r="W29" t="str">
        <f t="shared" si="7"/>
        <v>WBSS-SE 일반형</v>
      </c>
      <c r="X29" t="s">
        <v>1940</v>
      </c>
      <c r="Y29" s="1" t="s">
        <v>1941</v>
      </c>
      <c r="Z29" t="s">
        <v>1942</v>
      </c>
      <c r="AA29" s="1" t="s">
        <v>2009</v>
      </c>
    </row>
    <row r="30" spans="1:27">
      <c r="A30" s="11">
        <f t="shared" ca="1" si="0"/>
        <v>19</v>
      </c>
      <c r="B30" s="24" t="s">
        <v>2003</v>
      </c>
      <c r="C30" s="24" t="s">
        <v>746</v>
      </c>
      <c r="D30" s="24" t="s">
        <v>2010</v>
      </c>
      <c r="E30" s="24" t="s">
        <v>2004</v>
      </c>
      <c r="F30" s="24" t="s">
        <v>1933</v>
      </c>
      <c r="G30" s="24" t="s">
        <v>1018</v>
      </c>
      <c r="H30" s="24" t="s">
        <v>1934</v>
      </c>
      <c r="I30" s="30" t="s">
        <v>2005</v>
      </c>
      <c r="J30" s="24">
        <v>2100</v>
      </c>
      <c r="K30" s="24" t="s">
        <v>1845</v>
      </c>
      <c r="L30" s="6" t="str">
        <f t="shared" si="1"/>
        <v>일반, 15KW, SINCOS, ALL SUS, 2100, LEFT HINGE</v>
      </c>
      <c r="N30" t="s">
        <v>99</v>
      </c>
      <c r="O30" t="s">
        <v>2006</v>
      </c>
      <c r="P30" t="s">
        <v>77</v>
      </c>
      <c r="Q30">
        <f t="shared" si="8"/>
        <v>2100</v>
      </c>
      <c r="R30" t="str">
        <f t="shared" si="3"/>
        <v>15KW</v>
      </c>
      <c r="S30" t="str">
        <f t="shared" si="4"/>
        <v>SINCOS</v>
      </c>
      <c r="T30" t="str">
        <f t="shared" si="9"/>
        <v>LEFT HINGE</v>
      </c>
      <c r="U30" t="str">
        <f t="shared" si="5"/>
        <v>MRLALL SUS-HL일반형210015KWSINCOSLEFT HINGE</v>
      </c>
      <c r="V30" t="str">
        <f t="shared" si="6"/>
        <v>20410987G0300</v>
      </c>
      <c r="W30" t="str">
        <f t="shared" si="7"/>
        <v>WBSS-SE 일반형</v>
      </c>
      <c r="X30" t="s">
        <v>1945</v>
      </c>
      <c r="Y30" s="1" t="s">
        <v>1946</v>
      </c>
      <c r="Z30" t="s">
        <v>1947</v>
      </c>
      <c r="AA30" s="1" t="s">
        <v>2011</v>
      </c>
    </row>
    <row r="31" spans="1:27">
      <c r="A31" s="11">
        <f t="shared" ca="1" si="0"/>
        <v>20</v>
      </c>
      <c r="B31" s="24" t="s">
        <v>2003</v>
      </c>
      <c r="C31" s="24" t="s">
        <v>746</v>
      </c>
      <c r="D31" s="24" t="s">
        <v>1056</v>
      </c>
      <c r="E31" s="24" t="s">
        <v>2012</v>
      </c>
      <c r="F31" s="24" t="s">
        <v>1933</v>
      </c>
      <c r="G31" s="24" t="s">
        <v>1020</v>
      </c>
      <c r="H31" s="24" t="s">
        <v>1934</v>
      </c>
      <c r="I31" s="30" t="s">
        <v>2005</v>
      </c>
      <c r="J31" s="24">
        <v>2100</v>
      </c>
      <c r="K31" s="24" t="s">
        <v>1845</v>
      </c>
      <c r="L31" s="6" t="str">
        <f t="shared" si="1"/>
        <v>일반, 22KW, SINCOS, ALL SUS, 2100, LEFT HINGE</v>
      </c>
      <c r="N31" t="s">
        <v>99</v>
      </c>
      <c r="O31" t="s">
        <v>2006</v>
      </c>
      <c r="P31" t="s">
        <v>77</v>
      </c>
      <c r="Q31">
        <f t="shared" si="8"/>
        <v>2100</v>
      </c>
      <c r="R31" t="str">
        <f t="shared" si="3"/>
        <v>22KW</v>
      </c>
      <c r="S31" t="str">
        <f t="shared" si="4"/>
        <v>SINCOS</v>
      </c>
      <c r="T31" t="str">
        <f t="shared" si="9"/>
        <v>LEFT HINGE</v>
      </c>
      <c r="U31" t="str">
        <f t="shared" si="5"/>
        <v>MRLALL SUS-HL일반형210022KWSINCOSLEFT HINGE</v>
      </c>
      <c r="V31" t="str">
        <f t="shared" si="6"/>
        <v>20410987G0400</v>
      </c>
      <c r="W31" t="str">
        <f t="shared" si="7"/>
        <v>WBSS-SE 일반형</v>
      </c>
      <c r="X31" t="s">
        <v>1950</v>
      </c>
      <c r="Y31" s="1" t="s">
        <v>1951</v>
      </c>
      <c r="Z31" t="s">
        <v>1952</v>
      </c>
      <c r="AA31" s="1" t="s">
        <v>2013</v>
      </c>
    </row>
    <row r="32" spans="1:27">
      <c r="A32" s="5">
        <f t="shared" ca="1" si="0"/>
        <v>21</v>
      </c>
      <c r="B32" s="1" t="s">
        <v>2003</v>
      </c>
      <c r="C32" s="1" t="s">
        <v>746</v>
      </c>
      <c r="D32" s="1" t="s">
        <v>1059</v>
      </c>
      <c r="E32" s="1" t="s">
        <v>2014</v>
      </c>
      <c r="F32" s="1" t="s">
        <v>1933</v>
      </c>
      <c r="G32" s="1" t="s">
        <v>1013</v>
      </c>
      <c r="H32" s="1" t="s">
        <v>1934</v>
      </c>
      <c r="I32" s="30" t="s">
        <v>2005</v>
      </c>
      <c r="J32" s="1">
        <v>2200</v>
      </c>
      <c r="K32" s="1" t="s">
        <v>1845</v>
      </c>
      <c r="L32" s="6" t="str">
        <f t="shared" si="1"/>
        <v>일반, 7.5KW, SINCOS, ALL SUS, 2200, LEFT HINGE</v>
      </c>
      <c r="N32" t="s">
        <v>99</v>
      </c>
      <c r="O32" t="s">
        <v>2006</v>
      </c>
      <c r="P32" t="s">
        <v>77</v>
      </c>
      <c r="Q32">
        <f t="shared" si="8"/>
        <v>2200</v>
      </c>
      <c r="R32" t="str">
        <f t="shared" si="3"/>
        <v>7.5KW</v>
      </c>
      <c r="S32" t="str">
        <f t="shared" si="4"/>
        <v>SINCOS</v>
      </c>
      <c r="T32" t="str">
        <f t="shared" si="9"/>
        <v>LEFT HINGE</v>
      </c>
      <c r="U32" t="str">
        <f t="shared" si="5"/>
        <v>MRLALL SUS-HL일반형22007.5KWSINCOSLEFT HINGE</v>
      </c>
      <c r="V32" t="str">
        <f t="shared" si="6"/>
        <v>20410987G0600</v>
      </c>
      <c r="W32" t="str">
        <f t="shared" si="7"/>
        <v>WBSS-SE 일반형</v>
      </c>
      <c r="X32" t="s">
        <v>1935</v>
      </c>
      <c r="Y32" s="1" t="s">
        <v>1936</v>
      </c>
      <c r="Z32" t="s">
        <v>1937</v>
      </c>
      <c r="AA32" s="1" t="s">
        <v>2015</v>
      </c>
    </row>
    <row r="33" spans="1:27">
      <c r="A33" s="5">
        <f t="shared" ca="1" si="0"/>
        <v>22</v>
      </c>
      <c r="B33" s="1" t="s">
        <v>2003</v>
      </c>
      <c r="C33" s="1" t="s">
        <v>746</v>
      </c>
      <c r="D33" s="1" t="s">
        <v>1061</v>
      </c>
      <c r="E33" s="1" t="s">
        <v>2014</v>
      </c>
      <c r="F33" s="1" t="s">
        <v>1933</v>
      </c>
      <c r="G33" s="1" t="s">
        <v>1016</v>
      </c>
      <c r="H33" s="1" t="s">
        <v>1934</v>
      </c>
      <c r="I33" s="30" t="s">
        <v>2005</v>
      </c>
      <c r="J33" s="1">
        <v>2200</v>
      </c>
      <c r="K33" s="1" t="s">
        <v>1845</v>
      </c>
      <c r="L33" s="6" t="str">
        <f t="shared" si="1"/>
        <v>일반, 11KW, SINCOS, ALL SUS, 2200, LEFT HINGE</v>
      </c>
      <c r="N33" t="s">
        <v>99</v>
      </c>
      <c r="O33" t="s">
        <v>2006</v>
      </c>
      <c r="P33" t="s">
        <v>77</v>
      </c>
      <c r="Q33">
        <f t="shared" si="8"/>
        <v>2200</v>
      </c>
      <c r="R33" t="str">
        <f t="shared" si="3"/>
        <v>11KW</v>
      </c>
      <c r="S33" t="str">
        <f t="shared" si="4"/>
        <v>SINCOS</v>
      </c>
      <c r="T33" t="str">
        <f t="shared" si="9"/>
        <v>LEFT HINGE</v>
      </c>
      <c r="U33" t="str">
        <f t="shared" si="5"/>
        <v>MRLALL SUS-HL일반형220011KWSINCOSLEFT HINGE</v>
      </c>
      <c r="V33" t="str">
        <f t="shared" si="6"/>
        <v>20410987G0700</v>
      </c>
      <c r="W33" t="str">
        <f t="shared" si="7"/>
        <v>WBSS-SE 일반형</v>
      </c>
      <c r="X33" t="s">
        <v>1940</v>
      </c>
      <c r="Y33" s="1" t="s">
        <v>1941</v>
      </c>
      <c r="Z33" t="s">
        <v>1942</v>
      </c>
      <c r="AA33" s="1" t="s">
        <v>2016</v>
      </c>
    </row>
    <row r="34" spans="1:27">
      <c r="A34" s="5">
        <f t="shared" ca="1" si="0"/>
        <v>23</v>
      </c>
      <c r="B34" s="1" t="s">
        <v>2003</v>
      </c>
      <c r="C34" s="1" t="s">
        <v>746</v>
      </c>
      <c r="D34" s="1" t="s">
        <v>1063</v>
      </c>
      <c r="E34" s="1" t="s">
        <v>2014</v>
      </c>
      <c r="F34" s="1" t="s">
        <v>1933</v>
      </c>
      <c r="G34" s="1" t="s">
        <v>1018</v>
      </c>
      <c r="H34" s="1" t="s">
        <v>1934</v>
      </c>
      <c r="I34" s="30" t="s">
        <v>2005</v>
      </c>
      <c r="J34" s="1">
        <v>2200</v>
      </c>
      <c r="K34" s="1" t="s">
        <v>1845</v>
      </c>
      <c r="L34" s="6" t="str">
        <f t="shared" si="1"/>
        <v>일반, 15KW, SINCOS, ALL SUS, 2200, LEFT HINGE</v>
      </c>
      <c r="N34" t="s">
        <v>99</v>
      </c>
      <c r="O34" t="s">
        <v>2006</v>
      </c>
      <c r="P34" t="s">
        <v>77</v>
      </c>
      <c r="Q34">
        <f t="shared" si="8"/>
        <v>2200</v>
      </c>
      <c r="R34" t="str">
        <f t="shared" si="3"/>
        <v>15KW</v>
      </c>
      <c r="S34" t="str">
        <f t="shared" si="4"/>
        <v>SINCOS</v>
      </c>
      <c r="T34" t="str">
        <f t="shared" si="9"/>
        <v>LEFT HINGE</v>
      </c>
      <c r="U34" t="str">
        <f t="shared" si="5"/>
        <v>MRLALL SUS-HL일반형220015KWSINCOSLEFT HINGE</v>
      </c>
      <c r="V34" t="str">
        <f t="shared" si="6"/>
        <v>20410987G0800</v>
      </c>
      <c r="W34" t="str">
        <f t="shared" si="7"/>
        <v>WBSS-SE 일반형</v>
      </c>
      <c r="X34" t="s">
        <v>1945</v>
      </c>
      <c r="Y34" s="1" t="s">
        <v>1946</v>
      </c>
      <c r="Z34" t="s">
        <v>1947</v>
      </c>
      <c r="AA34" s="1" t="s">
        <v>2017</v>
      </c>
    </row>
    <row r="35" spans="1:27">
      <c r="A35" s="5">
        <f t="shared" ca="1" si="0"/>
        <v>24</v>
      </c>
      <c r="B35" s="1" t="s">
        <v>2003</v>
      </c>
      <c r="C35" s="1" t="s">
        <v>746</v>
      </c>
      <c r="D35" s="1" t="s">
        <v>1065</v>
      </c>
      <c r="E35" s="1" t="s">
        <v>2018</v>
      </c>
      <c r="F35" s="1" t="s">
        <v>1933</v>
      </c>
      <c r="G35" s="1" t="s">
        <v>1020</v>
      </c>
      <c r="H35" s="1" t="s">
        <v>1934</v>
      </c>
      <c r="I35" s="30" t="s">
        <v>2005</v>
      </c>
      <c r="J35" s="1">
        <v>2200</v>
      </c>
      <c r="K35" s="1" t="s">
        <v>1845</v>
      </c>
      <c r="L35" s="6" t="str">
        <f t="shared" si="1"/>
        <v>일반, 22KW, SINCOS, ALL SUS, 2200, LEFT HINGE</v>
      </c>
      <c r="N35" t="s">
        <v>99</v>
      </c>
      <c r="O35" t="s">
        <v>2006</v>
      </c>
      <c r="P35" t="s">
        <v>77</v>
      </c>
      <c r="Q35">
        <f t="shared" si="8"/>
        <v>2200</v>
      </c>
      <c r="R35" t="str">
        <f t="shared" si="3"/>
        <v>22KW</v>
      </c>
      <c r="S35" t="str">
        <f t="shared" si="4"/>
        <v>SINCOS</v>
      </c>
      <c r="T35" t="str">
        <f t="shared" si="9"/>
        <v>LEFT HINGE</v>
      </c>
      <c r="U35" t="str">
        <f t="shared" si="5"/>
        <v>MRLALL SUS-HL일반형220022KWSINCOSLEFT HINGE</v>
      </c>
      <c r="V35" t="str">
        <f t="shared" si="6"/>
        <v>20410987G0900</v>
      </c>
      <c r="W35" t="str">
        <f t="shared" si="7"/>
        <v>WBSS-SE 일반형</v>
      </c>
      <c r="X35" t="s">
        <v>1950</v>
      </c>
      <c r="Y35" s="1" t="s">
        <v>1951</v>
      </c>
      <c r="Z35" t="s">
        <v>1952</v>
      </c>
      <c r="AA35" s="1" t="s">
        <v>2019</v>
      </c>
    </row>
    <row r="36" spans="1:27">
      <c r="A36" s="11">
        <f t="shared" ca="1" si="0"/>
        <v>25</v>
      </c>
      <c r="B36" s="24" t="s">
        <v>2003</v>
      </c>
      <c r="C36" s="24" t="s">
        <v>746</v>
      </c>
      <c r="D36" s="24" t="s">
        <v>2020</v>
      </c>
      <c r="E36" s="24" t="s">
        <v>2021</v>
      </c>
      <c r="F36" s="24" t="s">
        <v>1933</v>
      </c>
      <c r="G36" s="24" t="s">
        <v>1013</v>
      </c>
      <c r="H36" s="24" t="s">
        <v>1934</v>
      </c>
      <c r="I36" s="30" t="s">
        <v>2005</v>
      </c>
      <c r="J36" s="24">
        <v>2400</v>
      </c>
      <c r="K36" s="24" t="s">
        <v>1845</v>
      </c>
      <c r="L36" s="6" t="str">
        <f t="shared" si="1"/>
        <v>일반, 7.5KW, SINCOS, ALL SUS, 2400, LEFT HINGE</v>
      </c>
      <c r="N36" t="s">
        <v>99</v>
      </c>
      <c r="O36" t="s">
        <v>2006</v>
      </c>
      <c r="P36" t="s">
        <v>77</v>
      </c>
      <c r="Q36">
        <f t="shared" si="8"/>
        <v>2400</v>
      </c>
      <c r="R36" t="str">
        <f t="shared" si="3"/>
        <v>7.5KW</v>
      </c>
      <c r="S36" t="str">
        <f t="shared" si="4"/>
        <v>SINCOS</v>
      </c>
      <c r="T36" t="str">
        <f t="shared" si="9"/>
        <v>LEFT HINGE</v>
      </c>
      <c r="U36" t="str">
        <f t="shared" si="5"/>
        <v>MRLALL SUS-HL일반형24007.5KWSINCOSLEFT HINGE</v>
      </c>
      <c r="V36" t="str">
        <f t="shared" si="6"/>
        <v>20410987G1100</v>
      </c>
      <c r="W36" t="str">
        <f t="shared" si="7"/>
        <v>WBSS-SE 일반형</v>
      </c>
      <c r="X36" t="s">
        <v>1935</v>
      </c>
      <c r="Y36" s="1" t="s">
        <v>1936</v>
      </c>
      <c r="Z36" t="s">
        <v>1937</v>
      </c>
      <c r="AA36" s="1" t="s">
        <v>2022</v>
      </c>
    </row>
    <row r="37" spans="1:27">
      <c r="A37" s="11">
        <f t="shared" ca="1" si="0"/>
        <v>26</v>
      </c>
      <c r="B37" s="24" t="s">
        <v>2003</v>
      </c>
      <c r="C37" s="24" t="s">
        <v>746</v>
      </c>
      <c r="D37" s="24" t="s">
        <v>2023</v>
      </c>
      <c r="E37" s="24" t="s">
        <v>2021</v>
      </c>
      <c r="F37" s="24" t="s">
        <v>1933</v>
      </c>
      <c r="G37" s="24" t="s">
        <v>1016</v>
      </c>
      <c r="H37" s="24" t="s">
        <v>1934</v>
      </c>
      <c r="I37" s="30" t="s">
        <v>2005</v>
      </c>
      <c r="J37" s="24">
        <v>2400</v>
      </c>
      <c r="K37" s="24" t="s">
        <v>1845</v>
      </c>
      <c r="L37" s="6" t="str">
        <f t="shared" si="1"/>
        <v>일반, 11KW, SINCOS, ALL SUS, 2400, LEFT HINGE</v>
      </c>
      <c r="N37" t="s">
        <v>99</v>
      </c>
      <c r="O37" t="s">
        <v>2006</v>
      </c>
      <c r="P37" t="s">
        <v>77</v>
      </c>
      <c r="Q37">
        <f t="shared" si="8"/>
        <v>2400</v>
      </c>
      <c r="R37" t="str">
        <f t="shared" si="3"/>
        <v>11KW</v>
      </c>
      <c r="S37" t="str">
        <f t="shared" si="4"/>
        <v>SINCOS</v>
      </c>
      <c r="T37" t="str">
        <f t="shared" si="9"/>
        <v>LEFT HINGE</v>
      </c>
      <c r="U37" t="str">
        <f t="shared" si="5"/>
        <v>MRLALL SUS-HL일반형240011KWSINCOSLEFT HINGE</v>
      </c>
      <c r="V37" t="str">
        <f t="shared" si="6"/>
        <v>20410987G1200</v>
      </c>
      <c r="W37" t="str">
        <f t="shared" si="7"/>
        <v>WBSS-SE 일반형</v>
      </c>
      <c r="X37" t="s">
        <v>1940</v>
      </c>
      <c r="Y37" s="1" t="s">
        <v>1941</v>
      </c>
      <c r="Z37" t="s">
        <v>1942</v>
      </c>
      <c r="AA37" s="1" t="s">
        <v>2024</v>
      </c>
    </row>
    <row r="38" spans="1:27">
      <c r="A38" s="11">
        <f t="shared" ca="1" si="0"/>
        <v>27</v>
      </c>
      <c r="B38" s="24" t="s">
        <v>2003</v>
      </c>
      <c r="C38" s="24" t="s">
        <v>746</v>
      </c>
      <c r="D38" s="24" t="s">
        <v>2025</v>
      </c>
      <c r="E38" s="24" t="s">
        <v>2021</v>
      </c>
      <c r="F38" s="24" t="s">
        <v>1933</v>
      </c>
      <c r="G38" s="24" t="s">
        <v>1018</v>
      </c>
      <c r="H38" s="24" t="s">
        <v>1934</v>
      </c>
      <c r="I38" s="30" t="s">
        <v>2005</v>
      </c>
      <c r="J38" s="24">
        <v>2400</v>
      </c>
      <c r="K38" s="24" t="s">
        <v>1845</v>
      </c>
      <c r="L38" s="6" t="str">
        <f t="shared" si="1"/>
        <v>일반, 15KW, SINCOS, ALL SUS, 2400, LEFT HINGE</v>
      </c>
      <c r="N38" t="s">
        <v>99</v>
      </c>
      <c r="O38" t="s">
        <v>2006</v>
      </c>
      <c r="P38" t="s">
        <v>77</v>
      </c>
      <c r="Q38">
        <f t="shared" si="8"/>
        <v>2400</v>
      </c>
      <c r="R38" t="str">
        <f t="shared" si="3"/>
        <v>15KW</v>
      </c>
      <c r="S38" t="str">
        <f t="shared" si="4"/>
        <v>SINCOS</v>
      </c>
      <c r="T38" t="str">
        <f t="shared" si="9"/>
        <v>LEFT HINGE</v>
      </c>
      <c r="U38" t="str">
        <f t="shared" si="5"/>
        <v>MRLALL SUS-HL일반형240015KWSINCOSLEFT HINGE</v>
      </c>
      <c r="V38" t="str">
        <f t="shared" si="6"/>
        <v>20410987G1300</v>
      </c>
      <c r="W38" t="str">
        <f t="shared" si="7"/>
        <v>WBSS-SE 일반형</v>
      </c>
      <c r="X38" t="s">
        <v>1945</v>
      </c>
      <c r="Y38" s="1" t="s">
        <v>1946</v>
      </c>
      <c r="Z38" t="s">
        <v>1947</v>
      </c>
      <c r="AA38" s="1" t="s">
        <v>2026</v>
      </c>
    </row>
    <row r="39" spans="1:27">
      <c r="A39" s="11">
        <f t="shared" ca="1" si="0"/>
        <v>28</v>
      </c>
      <c r="B39" s="24" t="s">
        <v>2003</v>
      </c>
      <c r="C39" s="24" t="s">
        <v>746</v>
      </c>
      <c r="D39" s="24" t="s">
        <v>2027</v>
      </c>
      <c r="E39" s="24" t="s">
        <v>2028</v>
      </c>
      <c r="F39" s="24" t="s">
        <v>1933</v>
      </c>
      <c r="G39" s="24" t="s">
        <v>1020</v>
      </c>
      <c r="H39" s="24" t="s">
        <v>1934</v>
      </c>
      <c r="I39" s="30" t="s">
        <v>2005</v>
      </c>
      <c r="J39" s="24">
        <v>2400</v>
      </c>
      <c r="K39" s="24" t="s">
        <v>1845</v>
      </c>
      <c r="L39" s="6" t="str">
        <f t="shared" si="1"/>
        <v>일반, 22KW, SINCOS, ALL SUS, 2400, LEFT HINGE</v>
      </c>
      <c r="N39" t="s">
        <v>99</v>
      </c>
      <c r="O39" t="s">
        <v>2006</v>
      </c>
      <c r="P39" t="s">
        <v>77</v>
      </c>
      <c r="Q39">
        <f t="shared" si="8"/>
        <v>2400</v>
      </c>
      <c r="R39" t="str">
        <f t="shared" si="3"/>
        <v>22KW</v>
      </c>
      <c r="S39" t="str">
        <f t="shared" si="4"/>
        <v>SINCOS</v>
      </c>
      <c r="T39" t="str">
        <f t="shared" si="9"/>
        <v>LEFT HINGE</v>
      </c>
      <c r="U39" t="str">
        <f t="shared" si="5"/>
        <v>MRLALL SUS-HL일반형240022KWSINCOSLEFT HINGE</v>
      </c>
      <c r="V39" t="str">
        <f t="shared" si="6"/>
        <v>20410987G1400</v>
      </c>
      <c r="W39" t="str">
        <f t="shared" si="7"/>
        <v>WBSS-SE 일반형</v>
      </c>
      <c r="X39" t="s">
        <v>1950</v>
      </c>
      <c r="Y39" s="1" t="s">
        <v>1951</v>
      </c>
      <c r="Z39" t="s">
        <v>1952</v>
      </c>
      <c r="AA39" s="1" t="s">
        <v>2029</v>
      </c>
    </row>
    <row r="40" spans="1:27">
      <c r="A40" s="5">
        <f t="shared" ca="1" si="0"/>
        <v>29</v>
      </c>
      <c r="B40" s="1" t="s">
        <v>2003</v>
      </c>
      <c r="C40" s="1" t="s">
        <v>746</v>
      </c>
      <c r="D40" s="1" t="s">
        <v>1075</v>
      </c>
      <c r="E40" s="1" t="s">
        <v>2030</v>
      </c>
      <c r="F40" s="1" t="s">
        <v>1933</v>
      </c>
      <c r="G40" s="1" t="s">
        <v>1013</v>
      </c>
      <c r="H40" s="1" t="s">
        <v>1934</v>
      </c>
      <c r="I40" s="30" t="s">
        <v>2005</v>
      </c>
      <c r="J40" s="1">
        <v>2100</v>
      </c>
      <c r="K40" s="1" t="s">
        <v>1853</v>
      </c>
      <c r="L40" s="6" t="str">
        <f t="shared" si="1"/>
        <v>일반, 7.5KW, SINCOS, ALL SUS, 2100, RIGHT HINGE</v>
      </c>
      <c r="N40" t="s">
        <v>99</v>
      </c>
      <c r="O40" t="s">
        <v>2006</v>
      </c>
      <c r="P40" t="s">
        <v>77</v>
      </c>
      <c r="Q40">
        <f t="shared" si="8"/>
        <v>2100</v>
      </c>
      <c r="R40" t="str">
        <f t="shared" si="3"/>
        <v>7.5KW</v>
      </c>
      <c r="S40" t="str">
        <f t="shared" si="4"/>
        <v>SINCOS</v>
      </c>
      <c r="T40" t="str">
        <f t="shared" si="9"/>
        <v>RIGHT HINGE</v>
      </c>
      <c r="U40" t="str">
        <f t="shared" si="5"/>
        <v>MRLALL SUS-HL일반형21007.5KWSINCOSRIGHT HINGE</v>
      </c>
      <c r="V40" t="str">
        <f t="shared" si="6"/>
        <v>20410987G1600</v>
      </c>
      <c r="W40" t="str">
        <f t="shared" si="7"/>
        <v>WBSS-SE 일반형</v>
      </c>
      <c r="X40" t="s">
        <v>1935</v>
      </c>
      <c r="Y40" s="1" t="s">
        <v>1936</v>
      </c>
      <c r="Z40" t="s">
        <v>1937</v>
      </c>
      <c r="AA40" s="1" t="s">
        <v>2031</v>
      </c>
    </row>
    <row r="41" spans="1:27">
      <c r="A41" s="5">
        <f t="shared" ca="1" si="0"/>
        <v>30</v>
      </c>
      <c r="B41" s="1" t="s">
        <v>2003</v>
      </c>
      <c r="C41" s="1" t="s">
        <v>746</v>
      </c>
      <c r="D41" s="1" t="s">
        <v>2032</v>
      </c>
      <c r="E41" s="1" t="s">
        <v>2030</v>
      </c>
      <c r="F41" s="1" t="s">
        <v>1933</v>
      </c>
      <c r="G41" s="1" t="s">
        <v>1016</v>
      </c>
      <c r="H41" s="1" t="s">
        <v>1934</v>
      </c>
      <c r="I41" s="30" t="s">
        <v>2005</v>
      </c>
      <c r="J41" s="1">
        <v>2100</v>
      </c>
      <c r="K41" s="1" t="s">
        <v>1853</v>
      </c>
      <c r="L41" s="6" t="str">
        <f t="shared" si="1"/>
        <v>일반, 11KW, SINCOS, ALL SUS, 2100, RIGHT HINGE</v>
      </c>
      <c r="N41" t="s">
        <v>99</v>
      </c>
      <c r="O41" t="s">
        <v>2006</v>
      </c>
      <c r="P41" t="s">
        <v>77</v>
      </c>
      <c r="Q41">
        <f t="shared" si="8"/>
        <v>2100</v>
      </c>
      <c r="R41" t="str">
        <f t="shared" si="3"/>
        <v>11KW</v>
      </c>
      <c r="S41" t="str">
        <f t="shared" si="4"/>
        <v>SINCOS</v>
      </c>
      <c r="T41" t="str">
        <f t="shared" si="9"/>
        <v>RIGHT HINGE</v>
      </c>
      <c r="U41" t="str">
        <f t="shared" si="5"/>
        <v>MRLALL SUS-HL일반형210011KWSINCOSRIGHT HINGE</v>
      </c>
      <c r="V41" t="str">
        <f t="shared" si="6"/>
        <v>20410987G1700</v>
      </c>
      <c r="W41" t="str">
        <f t="shared" si="7"/>
        <v>WBSS-SE 일반형</v>
      </c>
      <c r="X41" t="s">
        <v>1940</v>
      </c>
      <c r="Y41" s="1" t="s">
        <v>1941</v>
      </c>
      <c r="Z41" t="s">
        <v>1942</v>
      </c>
      <c r="AA41" s="1" t="s">
        <v>2033</v>
      </c>
    </row>
    <row r="42" spans="1:27">
      <c r="A42" s="5">
        <f t="shared" ca="1" si="0"/>
        <v>31</v>
      </c>
      <c r="B42" s="1" t="s">
        <v>2003</v>
      </c>
      <c r="C42" s="1" t="s">
        <v>746</v>
      </c>
      <c r="D42" s="1" t="s">
        <v>2034</v>
      </c>
      <c r="E42" s="1" t="s">
        <v>2030</v>
      </c>
      <c r="F42" s="1" t="s">
        <v>1933</v>
      </c>
      <c r="G42" s="1" t="s">
        <v>1018</v>
      </c>
      <c r="H42" s="1" t="s">
        <v>1934</v>
      </c>
      <c r="I42" s="30" t="s">
        <v>2005</v>
      </c>
      <c r="J42" s="1">
        <v>2100</v>
      </c>
      <c r="K42" s="1" t="s">
        <v>1853</v>
      </c>
      <c r="L42" s="6" t="str">
        <f t="shared" si="1"/>
        <v>일반, 15KW, SINCOS, ALL SUS, 2100, RIGHT HINGE</v>
      </c>
      <c r="N42" t="s">
        <v>99</v>
      </c>
      <c r="O42" t="s">
        <v>2006</v>
      </c>
      <c r="P42" t="s">
        <v>77</v>
      </c>
      <c r="Q42">
        <f t="shared" si="8"/>
        <v>2100</v>
      </c>
      <c r="R42" t="str">
        <f t="shared" si="3"/>
        <v>15KW</v>
      </c>
      <c r="S42" t="str">
        <f t="shared" si="4"/>
        <v>SINCOS</v>
      </c>
      <c r="T42" t="str">
        <f t="shared" si="9"/>
        <v>RIGHT HINGE</v>
      </c>
      <c r="U42" t="str">
        <f t="shared" si="5"/>
        <v>MRLALL SUS-HL일반형210015KWSINCOSRIGHT HINGE</v>
      </c>
      <c r="V42" t="str">
        <f t="shared" si="6"/>
        <v>20410987G1800</v>
      </c>
      <c r="W42" t="str">
        <f t="shared" si="7"/>
        <v>WBSS-SE 일반형</v>
      </c>
      <c r="X42" t="s">
        <v>1945</v>
      </c>
      <c r="Y42" s="1" t="s">
        <v>1946</v>
      </c>
      <c r="Z42" t="s">
        <v>1947</v>
      </c>
      <c r="AA42" s="1" t="s">
        <v>2035</v>
      </c>
    </row>
    <row r="43" spans="1:27">
      <c r="A43" s="5">
        <f t="shared" ca="1" si="0"/>
        <v>32</v>
      </c>
      <c r="B43" s="1" t="s">
        <v>2003</v>
      </c>
      <c r="C43" s="1" t="s">
        <v>746</v>
      </c>
      <c r="D43" s="1" t="s">
        <v>2036</v>
      </c>
      <c r="E43" s="1" t="s">
        <v>2037</v>
      </c>
      <c r="F43" s="1" t="s">
        <v>1933</v>
      </c>
      <c r="G43" s="1" t="s">
        <v>1020</v>
      </c>
      <c r="H43" s="1" t="s">
        <v>1934</v>
      </c>
      <c r="I43" s="30" t="s">
        <v>2005</v>
      </c>
      <c r="J43" s="1">
        <v>2100</v>
      </c>
      <c r="K43" s="1" t="s">
        <v>1853</v>
      </c>
      <c r="L43" s="6" t="str">
        <f t="shared" si="1"/>
        <v>일반, 22KW, SINCOS, ALL SUS, 2100, RIGHT HINGE</v>
      </c>
      <c r="N43" t="s">
        <v>99</v>
      </c>
      <c r="O43" t="s">
        <v>2006</v>
      </c>
      <c r="P43" t="s">
        <v>77</v>
      </c>
      <c r="Q43">
        <f t="shared" si="8"/>
        <v>2100</v>
      </c>
      <c r="R43" t="str">
        <f t="shared" si="3"/>
        <v>22KW</v>
      </c>
      <c r="S43" t="str">
        <f t="shared" si="4"/>
        <v>SINCOS</v>
      </c>
      <c r="T43" t="str">
        <f t="shared" si="9"/>
        <v>RIGHT HINGE</v>
      </c>
      <c r="U43" t="str">
        <f t="shared" si="5"/>
        <v>MRLALL SUS-HL일반형210022KWSINCOSRIGHT HINGE</v>
      </c>
      <c r="V43" t="str">
        <f t="shared" si="6"/>
        <v>20410987G1900</v>
      </c>
      <c r="W43" t="str">
        <f t="shared" si="7"/>
        <v>WBSS-SE 일반형</v>
      </c>
      <c r="X43" t="s">
        <v>1950</v>
      </c>
      <c r="Y43" s="1" t="s">
        <v>1951</v>
      </c>
      <c r="Z43" t="s">
        <v>1952</v>
      </c>
      <c r="AA43" s="1" t="s">
        <v>2038</v>
      </c>
    </row>
    <row r="44" spans="1:27">
      <c r="A44" s="11">
        <f t="shared" ca="1" si="0"/>
        <v>33</v>
      </c>
      <c r="B44" s="24" t="s">
        <v>2003</v>
      </c>
      <c r="C44" s="24" t="s">
        <v>746</v>
      </c>
      <c r="D44" s="24" t="s">
        <v>2039</v>
      </c>
      <c r="E44" s="24" t="s">
        <v>2040</v>
      </c>
      <c r="F44" s="24" t="s">
        <v>1933</v>
      </c>
      <c r="G44" s="24" t="s">
        <v>1013</v>
      </c>
      <c r="H44" s="24" t="s">
        <v>1934</v>
      </c>
      <c r="I44" s="30" t="s">
        <v>2005</v>
      </c>
      <c r="J44" s="24">
        <v>2200</v>
      </c>
      <c r="K44" s="24" t="s">
        <v>1853</v>
      </c>
      <c r="L44" s="6" t="str">
        <f t="shared" si="1"/>
        <v>일반, 7.5KW, SINCOS, ALL SUS, 2200, RIGHT HINGE</v>
      </c>
      <c r="N44" t="s">
        <v>99</v>
      </c>
      <c r="O44" t="s">
        <v>2006</v>
      </c>
      <c r="P44" t="s">
        <v>77</v>
      </c>
      <c r="Q44">
        <f t="shared" si="8"/>
        <v>2200</v>
      </c>
      <c r="R44" t="str">
        <f t="shared" si="3"/>
        <v>7.5KW</v>
      </c>
      <c r="S44" t="str">
        <f t="shared" si="4"/>
        <v>SINCOS</v>
      </c>
      <c r="T44" t="str">
        <f t="shared" si="9"/>
        <v>RIGHT HINGE</v>
      </c>
      <c r="U44" t="str">
        <f t="shared" si="5"/>
        <v>MRLALL SUS-HL일반형22007.5KWSINCOSRIGHT HINGE</v>
      </c>
      <c r="V44" t="str">
        <f t="shared" si="6"/>
        <v>20410987G2100</v>
      </c>
      <c r="W44" t="str">
        <f t="shared" si="7"/>
        <v>WBSS-SE 일반형</v>
      </c>
      <c r="X44" t="s">
        <v>1935</v>
      </c>
      <c r="Y44" s="1" t="s">
        <v>1936</v>
      </c>
      <c r="Z44" t="s">
        <v>1937</v>
      </c>
      <c r="AA44" s="1" t="s">
        <v>2041</v>
      </c>
    </row>
    <row r="45" spans="1:27">
      <c r="A45" s="11">
        <f t="shared" ca="1" si="0"/>
        <v>34</v>
      </c>
      <c r="B45" s="24" t="s">
        <v>2003</v>
      </c>
      <c r="C45" s="24" t="s">
        <v>746</v>
      </c>
      <c r="D45" s="24" t="s">
        <v>2042</v>
      </c>
      <c r="E45" s="24" t="s">
        <v>2040</v>
      </c>
      <c r="F45" s="24" t="s">
        <v>1933</v>
      </c>
      <c r="G45" s="24" t="s">
        <v>1016</v>
      </c>
      <c r="H45" s="24" t="s">
        <v>1934</v>
      </c>
      <c r="I45" s="30" t="s">
        <v>2005</v>
      </c>
      <c r="J45" s="24">
        <v>2200</v>
      </c>
      <c r="K45" s="24" t="s">
        <v>1853</v>
      </c>
      <c r="L45" s="6" t="str">
        <f t="shared" si="1"/>
        <v>일반, 11KW, SINCOS, ALL SUS, 2200, RIGHT HINGE</v>
      </c>
      <c r="N45" t="s">
        <v>99</v>
      </c>
      <c r="O45" t="s">
        <v>2006</v>
      </c>
      <c r="P45" t="s">
        <v>77</v>
      </c>
      <c r="Q45">
        <f t="shared" si="8"/>
        <v>2200</v>
      </c>
      <c r="R45" t="str">
        <f t="shared" si="3"/>
        <v>11KW</v>
      </c>
      <c r="S45" t="str">
        <f t="shared" si="4"/>
        <v>SINCOS</v>
      </c>
      <c r="T45" t="str">
        <f t="shared" si="9"/>
        <v>RIGHT HINGE</v>
      </c>
      <c r="U45" t="str">
        <f t="shared" si="5"/>
        <v>MRLALL SUS-HL일반형220011KWSINCOSRIGHT HINGE</v>
      </c>
      <c r="V45" t="str">
        <f t="shared" si="6"/>
        <v>20410987G2200</v>
      </c>
      <c r="W45" t="str">
        <f t="shared" si="7"/>
        <v>WBSS-SE 일반형</v>
      </c>
      <c r="X45" t="s">
        <v>1940</v>
      </c>
      <c r="Y45" s="1" t="s">
        <v>1941</v>
      </c>
      <c r="Z45" t="s">
        <v>1942</v>
      </c>
      <c r="AA45" s="1" t="s">
        <v>2043</v>
      </c>
    </row>
    <row r="46" spans="1:27">
      <c r="A46" s="11">
        <f t="shared" ca="1" si="0"/>
        <v>35</v>
      </c>
      <c r="B46" s="24" t="s">
        <v>2003</v>
      </c>
      <c r="C46" s="24" t="s">
        <v>746</v>
      </c>
      <c r="D46" s="24" t="s">
        <v>2044</v>
      </c>
      <c r="E46" s="24" t="s">
        <v>2040</v>
      </c>
      <c r="F46" s="24" t="s">
        <v>1933</v>
      </c>
      <c r="G46" s="24" t="s">
        <v>1018</v>
      </c>
      <c r="H46" s="24" t="s">
        <v>1934</v>
      </c>
      <c r="I46" s="30" t="s">
        <v>2005</v>
      </c>
      <c r="J46" s="24">
        <v>2200</v>
      </c>
      <c r="K46" s="24" t="s">
        <v>1853</v>
      </c>
      <c r="L46" s="6" t="str">
        <f t="shared" si="1"/>
        <v>일반, 15KW, SINCOS, ALL SUS, 2200, RIGHT HINGE</v>
      </c>
      <c r="N46" t="s">
        <v>99</v>
      </c>
      <c r="O46" t="s">
        <v>2006</v>
      </c>
      <c r="P46" t="s">
        <v>77</v>
      </c>
      <c r="Q46">
        <f t="shared" si="8"/>
        <v>2200</v>
      </c>
      <c r="R46" t="str">
        <f t="shared" si="3"/>
        <v>15KW</v>
      </c>
      <c r="S46" t="str">
        <f t="shared" si="4"/>
        <v>SINCOS</v>
      </c>
      <c r="T46" t="str">
        <f t="shared" si="9"/>
        <v>RIGHT HINGE</v>
      </c>
      <c r="U46" t="str">
        <f t="shared" si="5"/>
        <v>MRLALL SUS-HL일반형220015KWSINCOSRIGHT HINGE</v>
      </c>
      <c r="V46" t="str">
        <f t="shared" si="6"/>
        <v>20410987G2300</v>
      </c>
      <c r="W46" t="str">
        <f t="shared" si="7"/>
        <v>WBSS-SE 일반형</v>
      </c>
      <c r="X46" t="s">
        <v>1945</v>
      </c>
      <c r="Y46" s="1" t="s">
        <v>1946</v>
      </c>
      <c r="Z46" t="s">
        <v>1947</v>
      </c>
      <c r="AA46" s="1" t="s">
        <v>2045</v>
      </c>
    </row>
    <row r="47" spans="1:27">
      <c r="A47" s="11">
        <f t="shared" ca="1" si="0"/>
        <v>36</v>
      </c>
      <c r="B47" s="24" t="s">
        <v>2003</v>
      </c>
      <c r="C47" s="24" t="s">
        <v>746</v>
      </c>
      <c r="D47" s="24" t="s">
        <v>2046</v>
      </c>
      <c r="E47" s="24" t="s">
        <v>2047</v>
      </c>
      <c r="F47" s="24" t="s">
        <v>1933</v>
      </c>
      <c r="G47" s="24" t="s">
        <v>1020</v>
      </c>
      <c r="H47" s="24" t="s">
        <v>1934</v>
      </c>
      <c r="I47" s="30" t="s">
        <v>2005</v>
      </c>
      <c r="J47" s="24">
        <v>2200</v>
      </c>
      <c r="K47" s="24" t="s">
        <v>1853</v>
      </c>
      <c r="L47" s="6" t="str">
        <f t="shared" si="1"/>
        <v>일반, 22KW, SINCOS, ALL SUS, 2200, RIGHT HINGE</v>
      </c>
      <c r="N47" t="s">
        <v>99</v>
      </c>
      <c r="O47" t="s">
        <v>2006</v>
      </c>
      <c r="P47" t="s">
        <v>77</v>
      </c>
      <c r="Q47">
        <f t="shared" si="8"/>
        <v>2200</v>
      </c>
      <c r="R47" t="str">
        <f t="shared" si="3"/>
        <v>22KW</v>
      </c>
      <c r="S47" t="str">
        <f t="shared" si="4"/>
        <v>SINCOS</v>
      </c>
      <c r="T47" t="str">
        <f t="shared" si="9"/>
        <v>RIGHT HINGE</v>
      </c>
      <c r="U47" t="str">
        <f t="shared" si="5"/>
        <v>MRLALL SUS-HL일반형220022KWSINCOSRIGHT HINGE</v>
      </c>
      <c r="V47" t="str">
        <f t="shared" si="6"/>
        <v>20410987G2400</v>
      </c>
      <c r="W47" t="str">
        <f t="shared" si="7"/>
        <v>WBSS-SE 일반형</v>
      </c>
      <c r="X47" t="s">
        <v>1950</v>
      </c>
      <c r="Y47" s="1" t="s">
        <v>1951</v>
      </c>
      <c r="Z47" t="s">
        <v>1952</v>
      </c>
      <c r="AA47" s="1" t="s">
        <v>2048</v>
      </c>
    </row>
    <row r="48" spans="1:27">
      <c r="A48" s="5">
        <f t="shared" ca="1" si="0"/>
        <v>37</v>
      </c>
      <c r="B48" s="1" t="s">
        <v>2003</v>
      </c>
      <c r="C48" s="1" t="s">
        <v>746</v>
      </c>
      <c r="D48" s="1" t="s">
        <v>2049</v>
      </c>
      <c r="E48" s="1" t="s">
        <v>2050</v>
      </c>
      <c r="F48" s="1" t="s">
        <v>1933</v>
      </c>
      <c r="G48" s="1" t="s">
        <v>1013</v>
      </c>
      <c r="H48" s="1" t="s">
        <v>1934</v>
      </c>
      <c r="I48" s="30" t="s">
        <v>2005</v>
      </c>
      <c r="J48" s="1">
        <v>2400</v>
      </c>
      <c r="K48" s="1" t="s">
        <v>1853</v>
      </c>
      <c r="L48" s="6" t="str">
        <f t="shared" si="1"/>
        <v>일반, 7.5KW, SINCOS, ALL SUS, 2400, RIGHT HINGE</v>
      </c>
      <c r="N48" t="s">
        <v>99</v>
      </c>
      <c r="O48" t="s">
        <v>2006</v>
      </c>
      <c r="P48" t="s">
        <v>77</v>
      </c>
      <c r="Q48">
        <f t="shared" si="8"/>
        <v>2400</v>
      </c>
      <c r="R48" t="str">
        <f t="shared" si="3"/>
        <v>7.5KW</v>
      </c>
      <c r="S48" t="str">
        <f t="shared" si="4"/>
        <v>SINCOS</v>
      </c>
      <c r="T48" t="str">
        <f t="shared" si="9"/>
        <v>RIGHT HINGE</v>
      </c>
      <c r="U48" t="str">
        <f t="shared" si="5"/>
        <v>MRLALL SUS-HL일반형24007.5KWSINCOSRIGHT HINGE</v>
      </c>
      <c r="V48" t="str">
        <f t="shared" si="6"/>
        <v>20410987G2600</v>
      </c>
      <c r="W48" t="str">
        <f t="shared" si="7"/>
        <v>WBSS-SE 일반형</v>
      </c>
      <c r="X48" t="s">
        <v>1935</v>
      </c>
      <c r="Y48" s="1" t="s">
        <v>1936</v>
      </c>
      <c r="Z48" t="s">
        <v>1937</v>
      </c>
      <c r="AA48" s="1" t="s">
        <v>2051</v>
      </c>
    </row>
    <row r="49" spans="1:27">
      <c r="A49" s="5">
        <f t="shared" ca="1" si="0"/>
        <v>38</v>
      </c>
      <c r="B49" s="1" t="s">
        <v>2003</v>
      </c>
      <c r="C49" s="1" t="s">
        <v>746</v>
      </c>
      <c r="D49" s="1" t="s">
        <v>2052</v>
      </c>
      <c r="E49" s="1" t="s">
        <v>2050</v>
      </c>
      <c r="F49" s="1" t="s">
        <v>1933</v>
      </c>
      <c r="G49" s="1" t="s">
        <v>1016</v>
      </c>
      <c r="H49" s="1" t="s">
        <v>1934</v>
      </c>
      <c r="I49" s="30" t="s">
        <v>2005</v>
      </c>
      <c r="J49" s="1">
        <v>2400</v>
      </c>
      <c r="K49" s="1" t="s">
        <v>1853</v>
      </c>
      <c r="L49" s="6" t="str">
        <f t="shared" si="1"/>
        <v>일반, 11KW, SINCOS, ALL SUS, 2400, RIGHT HINGE</v>
      </c>
      <c r="N49" t="s">
        <v>99</v>
      </c>
      <c r="O49" t="s">
        <v>2006</v>
      </c>
      <c r="P49" t="s">
        <v>77</v>
      </c>
      <c r="Q49">
        <f t="shared" si="8"/>
        <v>2400</v>
      </c>
      <c r="R49" t="str">
        <f t="shared" si="3"/>
        <v>11KW</v>
      </c>
      <c r="S49" t="str">
        <f t="shared" si="4"/>
        <v>SINCOS</v>
      </c>
      <c r="T49" t="str">
        <f t="shared" si="9"/>
        <v>RIGHT HINGE</v>
      </c>
      <c r="U49" t="str">
        <f t="shared" si="5"/>
        <v>MRLALL SUS-HL일반형240011KWSINCOSRIGHT HINGE</v>
      </c>
      <c r="V49" t="str">
        <f t="shared" si="6"/>
        <v>20410987G2700</v>
      </c>
      <c r="W49" t="str">
        <f t="shared" si="7"/>
        <v>WBSS-SE 일반형</v>
      </c>
      <c r="X49" t="s">
        <v>1940</v>
      </c>
      <c r="Y49" s="1" t="s">
        <v>1941</v>
      </c>
      <c r="Z49" t="s">
        <v>1942</v>
      </c>
      <c r="AA49" s="1" t="s">
        <v>2053</v>
      </c>
    </row>
    <row r="50" spans="1:27">
      <c r="A50" s="5">
        <f t="shared" ca="1" si="0"/>
        <v>39</v>
      </c>
      <c r="B50" s="1" t="s">
        <v>2003</v>
      </c>
      <c r="C50" s="1" t="s">
        <v>746</v>
      </c>
      <c r="D50" s="1" t="s">
        <v>2054</v>
      </c>
      <c r="E50" s="1" t="s">
        <v>2050</v>
      </c>
      <c r="F50" s="1" t="s">
        <v>1933</v>
      </c>
      <c r="G50" s="1" t="s">
        <v>1018</v>
      </c>
      <c r="H50" s="1" t="s">
        <v>1934</v>
      </c>
      <c r="I50" s="30" t="s">
        <v>2005</v>
      </c>
      <c r="J50" s="1">
        <v>2400</v>
      </c>
      <c r="K50" s="1" t="s">
        <v>1853</v>
      </c>
      <c r="L50" s="6" t="str">
        <f t="shared" si="1"/>
        <v>일반, 15KW, SINCOS, ALL SUS, 2400, RIGHT HINGE</v>
      </c>
      <c r="N50" t="s">
        <v>99</v>
      </c>
      <c r="O50" t="s">
        <v>2006</v>
      </c>
      <c r="P50" t="s">
        <v>77</v>
      </c>
      <c r="Q50">
        <f t="shared" si="8"/>
        <v>2400</v>
      </c>
      <c r="R50" t="str">
        <f t="shared" si="3"/>
        <v>15KW</v>
      </c>
      <c r="S50" t="str">
        <f t="shared" si="4"/>
        <v>SINCOS</v>
      </c>
      <c r="T50" t="str">
        <f t="shared" si="9"/>
        <v>RIGHT HINGE</v>
      </c>
      <c r="U50" t="str">
        <f t="shared" si="5"/>
        <v>MRLALL SUS-HL일반형240015KWSINCOSRIGHT HINGE</v>
      </c>
      <c r="V50" t="str">
        <f t="shared" si="6"/>
        <v>20410987G2800</v>
      </c>
      <c r="W50" t="str">
        <f t="shared" si="7"/>
        <v>WBSS-SE 일반형</v>
      </c>
      <c r="X50" t="s">
        <v>1945</v>
      </c>
      <c r="Y50" s="1" t="s">
        <v>1946</v>
      </c>
      <c r="Z50" t="s">
        <v>1947</v>
      </c>
      <c r="AA50" s="1" t="s">
        <v>2055</v>
      </c>
    </row>
    <row r="51" spans="1:27">
      <c r="A51" s="5">
        <f t="shared" ca="1" si="0"/>
        <v>40</v>
      </c>
      <c r="B51" s="1" t="s">
        <v>2003</v>
      </c>
      <c r="C51" s="1" t="s">
        <v>746</v>
      </c>
      <c r="D51" s="1" t="s">
        <v>2056</v>
      </c>
      <c r="E51" s="1" t="s">
        <v>2057</v>
      </c>
      <c r="F51" s="1" t="s">
        <v>1933</v>
      </c>
      <c r="G51" s="1" t="s">
        <v>1020</v>
      </c>
      <c r="H51" s="1" t="s">
        <v>1934</v>
      </c>
      <c r="I51" s="30" t="s">
        <v>2005</v>
      </c>
      <c r="J51" s="1">
        <v>2400</v>
      </c>
      <c r="K51" s="1" t="s">
        <v>1853</v>
      </c>
      <c r="L51" s="6" t="str">
        <f t="shared" si="1"/>
        <v>일반, 22KW, SINCOS, ALL SUS, 2400, RIGHT HINGE</v>
      </c>
      <c r="N51" t="s">
        <v>99</v>
      </c>
      <c r="O51" t="s">
        <v>2006</v>
      </c>
      <c r="P51" t="s">
        <v>77</v>
      </c>
      <c r="Q51">
        <f t="shared" si="8"/>
        <v>2400</v>
      </c>
      <c r="R51" t="str">
        <f t="shared" si="3"/>
        <v>22KW</v>
      </c>
      <c r="S51" t="str">
        <f t="shared" si="4"/>
        <v>SINCOS</v>
      </c>
      <c r="T51" t="str">
        <f t="shared" si="9"/>
        <v>RIGHT HINGE</v>
      </c>
      <c r="U51" t="str">
        <f t="shared" si="5"/>
        <v>MRLALL SUS-HL일반형240022KWSINCOSRIGHT HINGE</v>
      </c>
      <c r="V51" t="str">
        <f t="shared" si="6"/>
        <v>20410987G2900</v>
      </c>
      <c r="W51" t="str">
        <f t="shared" si="7"/>
        <v>WBSS-SE 일반형</v>
      </c>
      <c r="X51" t="s">
        <v>1950</v>
      </c>
      <c r="Y51" s="1" t="s">
        <v>1951</v>
      </c>
      <c r="Z51" t="s">
        <v>1952</v>
      </c>
      <c r="AA51" s="1" t="s">
        <v>2058</v>
      </c>
    </row>
    <row r="52" spans="1:27">
      <c r="A52" s="11">
        <f t="shared" ca="1" si="0"/>
        <v>41</v>
      </c>
      <c r="B52" s="24" t="s">
        <v>2003</v>
      </c>
      <c r="C52" s="24" t="s">
        <v>746</v>
      </c>
      <c r="D52" s="24" t="s">
        <v>2059</v>
      </c>
      <c r="E52" s="24" t="s">
        <v>2060</v>
      </c>
      <c r="F52" s="24" t="s">
        <v>1933</v>
      </c>
      <c r="G52" s="24" t="s">
        <v>1013</v>
      </c>
      <c r="H52" s="24" t="s">
        <v>1934</v>
      </c>
      <c r="I52" s="1"/>
      <c r="K52" s="24" t="s">
        <v>2061</v>
      </c>
      <c r="L52" s="6" t="str">
        <f t="shared" si="1"/>
        <v>일반, 7.5KW, SINCOS, , , HOIST TYPE</v>
      </c>
      <c r="N52" t="s">
        <v>99</v>
      </c>
      <c r="P52" t="s">
        <v>77</v>
      </c>
      <c r="R52" t="str">
        <f t="shared" si="3"/>
        <v>7.5KW</v>
      </c>
      <c r="S52" t="str">
        <f t="shared" si="4"/>
        <v>SINCOS</v>
      </c>
      <c r="T52" t="str">
        <f t="shared" si="9"/>
        <v>HOIST TYPE</v>
      </c>
      <c r="U52" t="str">
        <f t="shared" si="5"/>
        <v>MRL일반형7.5KWSINCOSHOIST TYPE</v>
      </c>
      <c r="V52" t="str">
        <f t="shared" si="6"/>
        <v>20410987G3100</v>
      </c>
      <c r="W52" t="str">
        <f t="shared" si="7"/>
        <v>WBSS-SE 일반형</v>
      </c>
      <c r="X52" t="s">
        <v>1935</v>
      </c>
      <c r="Y52" s="1" t="s">
        <v>1936</v>
      </c>
      <c r="Z52" t="s">
        <v>1937</v>
      </c>
      <c r="AA52" s="1" t="s">
        <v>2062</v>
      </c>
    </row>
    <row r="53" spans="1:27">
      <c r="A53" s="11">
        <f t="shared" ca="1" si="0"/>
        <v>42</v>
      </c>
      <c r="B53" s="24" t="s">
        <v>2003</v>
      </c>
      <c r="C53" s="24" t="s">
        <v>746</v>
      </c>
      <c r="D53" s="24" t="s">
        <v>2063</v>
      </c>
      <c r="E53" s="24" t="s">
        <v>2060</v>
      </c>
      <c r="F53" s="24" t="s">
        <v>1933</v>
      </c>
      <c r="G53" s="24" t="s">
        <v>1016</v>
      </c>
      <c r="H53" s="24" t="s">
        <v>1934</v>
      </c>
      <c r="I53" s="1"/>
      <c r="K53" s="24" t="s">
        <v>2061</v>
      </c>
      <c r="L53" s="6" t="str">
        <f t="shared" si="1"/>
        <v>일반, 11KW, SINCOS, , , HOIST TYPE</v>
      </c>
      <c r="N53" t="s">
        <v>99</v>
      </c>
      <c r="P53" t="s">
        <v>77</v>
      </c>
      <c r="R53" t="str">
        <f t="shared" si="3"/>
        <v>11KW</v>
      </c>
      <c r="S53" t="str">
        <f t="shared" si="4"/>
        <v>SINCOS</v>
      </c>
      <c r="T53" t="str">
        <f t="shared" si="9"/>
        <v>HOIST TYPE</v>
      </c>
      <c r="U53" t="str">
        <f t="shared" si="5"/>
        <v>MRL일반형11KWSINCOSHOIST TYPE</v>
      </c>
      <c r="V53" t="str">
        <f t="shared" si="6"/>
        <v>20410987G3200</v>
      </c>
      <c r="W53" t="str">
        <f t="shared" si="7"/>
        <v>WBSS-SE 일반형</v>
      </c>
      <c r="X53" t="s">
        <v>1940</v>
      </c>
      <c r="Y53" s="1" t="s">
        <v>1941</v>
      </c>
      <c r="Z53" t="s">
        <v>1942</v>
      </c>
      <c r="AA53" s="1" t="s">
        <v>2064</v>
      </c>
    </row>
    <row r="54" spans="1:27">
      <c r="A54" s="11">
        <f t="shared" ca="1" si="0"/>
        <v>43</v>
      </c>
      <c r="B54" s="24" t="s">
        <v>2003</v>
      </c>
      <c r="C54" s="24" t="s">
        <v>746</v>
      </c>
      <c r="D54" s="24" t="s">
        <v>2065</v>
      </c>
      <c r="E54" s="24" t="s">
        <v>2060</v>
      </c>
      <c r="F54" s="24" t="s">
        <v>1933</v>
      </c>
      <c r="G54" s="24" t="s">
        <v>1018</v>
      </c>
      <c r="H54" s="24" t="s">
        <v>1934</v>
      </c>
      <c r="I54" s="1"/>
      <c r="K54" s="24" t="s">
        <v>2061</v>
      </c>
      <c r="L54" s="6" t="str">
        <f t="shared" si="1"/>
        <v>일반, 15KW, SINCOS, , , HOIST TYPE</v>
      </c>
      <c r="N54" t="s">
        <v>99</v>
      </c>
      <c r="P54" t="s">
        <v>77</v>
      </c>
      <c r="R54" t="str">
        <f t="shared" si="3"/>
        <v>15KW</v>
      </c>
      <c r="S54" t="str">
        <f t="shared" si="4"/>
        <v>SINCOS</v>
      </c>
      <c r="T54" t="str">
        <f t="shared" si="9"/>
        <v>HOIST TYPE</v>
      </c>
      <c r="U54" t="str">
        <f t="shared" si="5"/>
        <v>MRL일반형15KWSINCOSHOIST TYPE</v>
      </c>
      <c r="V54" t="str">
        <f t="shared" si="6"/>
        <v>20410987G3300</v>
      </c>
      <c r="W54" t="str">
        <f t="shared" si="7"/>
        <v>WBSS-SE 일반형</v>
      </c>
      <c r="X54" t="s">
        <v>1945</v>
      </c>
      <c r="Y54" s="1" t="s">
        <v>1946</v>
      </c>
      <c r="Z54" t="s">
        <v>1947</v>
      </c>
      <c r="AA54" s="1" t="s">
        <v>2066</v>
      </c>
    </row>
    <row r="55" spans="1:27">
      <c r="A55" s="12">
        <f t="shared" ca="1" si="0"/>
        <v>44</v>
      </c>
      <c r="B55" s="25" t="s">
        <v>2003</v>
      </c>
      <c r="C55" s="25" t="s">
        <v>746</v>
      </c>
      <c r="D55" s="25" t="s">
        <v>2067</v>
      </c>
      <c r="E55" s="25" t="s">
        <v>2068</v>
      </c>
      <c r="F55" s="25" t="s">
        <v>1933</v>
      </c>
      <c r="G55" s="25" t="s">
        <v>1020</v>
      </c>
      <c r="H55" s="25" t="s">
        <v>1934</v>
      </c>
      <c r="I55" s="23"/>
      <c r="K55" s="25" t="s">
        <v>2061</v>
      </c>
      <c r="L55" s="6" t="str">
        <f t="shared" si="1"/>
        <v>일반, 22KW, SINCOS, , , HOIST TYPE</v>
      </c>
      <c r="N55" t="s">
        <v>99</v>
      </c>
      <c r="P55" t="s">
        <v>77</v>
      </c>
      <c r="R55" t="str">
        <f t="shared" si="3"/>
        <v>22KW</v>
      </c>
      <c r="S55" t="str">
        <f t="shared" si="4"/>
        <v>SINCOS</v>
      </c>
      <c r="T55" t="str">
        <f t="shared" si="9"/>
        <v>HOIST TYPE</v>
      </c>
      <c r="U55" t="str">
        <f t="shared" si="5"/>
        <v>MRL일반형22KWSINCOSHOIST TYPE</v>
      </c>
      <c r="V55" t="str">
        <f t="shared" si="6"/>
        <v>20410987G3400</v>
      </c>
      <c r="W55" t="str">
        <f t="shared" si="7"/>
        <v>WBSS-SE 일반형</v>
      </c>
      <c r="X55" t="s">
        <v>1950</v>
      </c>
      <c r="Y55" s="1" t="s">
        <v>1951</v>
      </c>
      <c r="Z55" t="s">
        <v>1952</v>
      </c>
      <c r="AA55" s="1" t="s">
        <v>2069</v>
      </c>
    </row>
    <row r="56" spans="1:27">
      <c r="A56" s="13">
        <f t="shared" ca="1" si="0"/>
        <v>45</v>
      </c>
      <c r="B56" s="1" t="s">
        <v>2003</v>
      </c>
      <c r="C56" s="1" t="s">
        <v>746</v>
      </c>
      <c r="D56" s="1" t="s">
        <v>2070</v>
      </c>
      <c r="E56" s="1" t="s">
        <v>2004</v>
      </c>
      <c r="F56" s="1" t="s">
        <v>1933</v>
      </c>
      <c r="G56" s="1" t="s">
        <v>1013</v>
      </c>
      <c r="H56" s="1" t="s">
        <v>1955</v>
      </c>
      <c r="I56" s="30" t="s">
        <v>2005</v>
      </c>
      <c r="J56" s="1">
        <v>2100</v>
      </c>
      <c r="K56" s="1" t="s">
        <v>1845</v>
      </c>
      <c r="L56" s="6" t="str">
        <f t="shared" si="1"/>
        <v>일반, 7.5KW, INCREMENTAL, ALL SUS, 2100, LEFT HINGE</v>
      </c>
      <c r="N56" t="s">
        <v>99</v>
      </c>
      <c r="O56" t="s">
        <v>2006</v>
      </c>
      <c r="P56" t="s">
        <v>77</v>
      </c>
      <c r="Q56">
        <f t="shared" si="8"/>
        <v>2100</v>
      </c>
      <c r="R56" t="str">
        <f t="shared" si="3"/>
        <v>7.5KW</v>
      </c>
      <c r="S56" t="str">
        <f t="shared" si="4"/>
        <v>INCREMENTAL</v>
      </c>
      <c r="T56" t="str">
        <f t="shared" si="9"/>
        <v>LEFT HINGE</v>
      </c>
      <c r="U56" t="str">
        <f t="shared" si="5"/>
        <v>MRLALL SUS-HL일반형21007.5KWINCREMENTALLEFT HINGE</v>
      </c>
      <c r="V56" t="str">
        <f t="shared" si="6"/>
        <v>20410987G3600</v>
      </c>
      <c r="W56" t="str">
        <f t="shared" si="7"/>
        <v>WBSS-SE 일반형</v>
      </c>
      <c r="X56" t="s">
        <v>1956</v>
      </c>
      <c r="Y56" s="1" t="s">
        <v>1957</v>
      </c>
      <c r="Z56" t="s">
        <v>1937</v>
      </c>
      <c r="AA56" t="s">
        <v>2007</v>
      </c>
    </row>
    <row r="57" spans="1:27">
      <c r="A57" s="13">
        <f t="shared" ca="1" si="0"/>
        <v>46</v>
      </c>
      <c r="B57" s="1" t="s">
        <v>2003</v>
      </c>
      <c r="C57" s="1" t="s">
        <v>746</v>
      </c>
      <c r="D57" s="1" t="s">
        <v>2071</v>
      </c>
      <c r="E57" s="1" t="s">
        <v>2004</v>
      </c>
      <c r="F57" s="1" t="s">
        <v>1933</v>
      </c>
      <c r="G57" s="1" t="s">
        <v>1016</v>
      </c>
      <c r="H57" s="1" t="s">
        <v>1955</v>
      </c>
      <c r="I57" s="30" t="s">
        <v>2005</v>
      </c>
      <c r="J57" s="1">
        <v>2100</v>
      </c>
      <c r="K57" s="1" t="s">
        <v>1845</v>
      </c>
      <c r="L57" s="6" t="str">
        <f t="shared" si="1"/>
        <v>일반, 11KW, INCREMENTAL, ALL SUS, 2100, LEFT HINGE</v>
      </c>
      <c r="N57" t="s">
        <v>99</v>
      </c>
      <c r="O57" t="s">
        <v>2006</v>
      </c>
      <c r="P57" t="s">
        <v>77</v>
      </c>
      <c r="Q57">
        <f t="shared" si="8"/>
        <v>2100</v>
      </c>
      <c r="R57" t="str">
        <f t="shared" si="3"/>
        <v>11KW</v>
      </c>
      <c r="S57" t="str">
        <f t="shared" si="4"/>
        <v>INCREMENTAL</v>
      </c>
      <c r="T57" t="str">
        <f t="shared" si="9"/>
        <v>LEFT HINGE</v>
      </c>
      <c r="U57" t="str">
        <f t="shared" si="5"/>
        <v>MRLALL SUS-HL일반형210011KWINCREMENTALLEFT HINGE</v>
      </c>
      <c r="V57" t="str">
        <f t="shared" si="6"/>
        <v>20410987G3700</v>
      </c>
      <c r="W57" t="str">
        <f t="shared" si="7"/>
        <v>WBSS-SE 일반형</v>
      </c>
      <c r="X57" t="s">
        <v>1959</v>
      </c>
      <c r="Y57" s="1" t="s">
        <v>1960</v>
      </c>
      <c r="Z57" t="s">
        <v>1942</v>
      </c>
      <c r="AA57" t="s">
        <v>2009</v>
      </c>
    </row>
    <row r="58" spans="1:27">
      <c r="A58" s="13">
        <f t="shared" ca="1" si="0"/>
        <v>47</v>
      </c>
      <c r="B58" s="1" t="s">
        <v>2003</v>
      </c>
      <c r="C58" s="1" t="s">
        <v>746</v>
      </c>
      <c r="D58" s="1" t="s">
        <v>2072</v>
      </c>
      <c r="E58" s="1" t="s">
        <v>2004</v>
      </c>
      <c r="F58" s="1" t="s">
        <v>1933</v>
      </c>
      <c r="G58" s="1" t="s">
        <v>1018</v>
      </c>
      <c r="H58" s="1" t="s">
        <v>1955</v>
      </c>
      <c r="I58" s="30" t="s">
        <v>2005</v>
      </c>
      <c r="J58" s="1">
        <v>2100</v>
      </c>
      <c r="K58" s="1" t="s">
        <v>1845</v>
      </c>
      <c r="L58" s="6" t="str">
        <f t="shared" si="1"/>
        <v>일반, 15KW, INCREMENTAL, ALL SUS, 2100, LEFT HINGE</v>
      </c>
      <c r="N58" t="s">
        <v>99</v>
      </c>
      <c r="O58" t="s">
        <v>2006</v>
      </c>
      <c r="P58" t="s">
        <v>77</v>
      </c>
      <c r="Q58">
        <f t="shared" si="8"/>
        <v>2100</v>
      </c>
      <c r="R58" t="str">
        <f t="shared" si="3"/>
        <v>15KW</v>
      </c>
      <c r="S58" t="str">
        <f t="shared" si="4"/>
        <v>INCREMENTAL</v>
      </c>
      <c r="T58" t="str">
        <f t="shared" si="9"/>
        <v>LEFT HINGE</v>
      </c>
      <c r="U58" t="str">
        <f t="shared" si="5"/>
        <v>MRLALL SUS-HL일반형210015KWINCREMENTALLEFT HINGE</v>
      </c>
      <c r="V58" t="str">
        <f t="shared" si="6"/>
        <v>20410987G3800</v>
      </c>
      <c r="W58" t="str">
        <f t="shared" si="7"/>
        <v>WBSS-SE 일반형</v>
      </c>
      <c r="X58" t="s">
        <v>1963</v>
      </c>
      <c r="Y58" s="1" t="s">
        <v>1964</v>
      </c>
      <c r="Z58" t="s">
        <v>1947</v>
      </c>
      <c r="AA58" t="s">
        <v>2011</v>
      </c>
    </row>
    <row r="59" spans="1:27">
      <c r="A59" s="13">
        <f t="shared" ca="1" si="0"/>
        <v>48</v>
      </c>
      <c r="B59" s="1" t="s">
        <v>2003</v>
      </c>
      <c r="C59" s="1" t="s">
        <v>746</v>
      </c>
      <c r="D59" s="1" t="s">
        <v>2073</v>
      </c>
      <c r="E59" s="1" t="s">
        <v>2012</v>
      </c>
      <c r="F59" s="1" t="s">
        <v>1933</v>
      </c>
      <c r="G59" s="1" t="s">
        <v>1020</v>
      </c>
      <c r="H59" s="1" t="s">
        <v>1955</v>
      </c>
      <c r="I59" s="30" t="s">
        <v>2005</v>
      </c>
      <c r="J59" s="1">
        <v>2100</v>
      </c>
      <c r="K59" s="1" t="s">
        <v>1845</v>
      </c>
      <c r="L59" s="6" t="str">
        <f t="shared" si="1"/>
        <v>일반, 22KW, INCREMENTAL, ALL SUS, 2100, LEFT HINGE</v>
      </c>
      <c r="N59" t="s">
        <v>99</v>
      </c>
      <c r="O59" t="s">
        <v>2006</v>
      </c>
      <c r="P59" t="s">
        <v>77</v>
      </c>
      <c r="Q59">
        <f t="shared" si="8"/>
        <v>2100</v>
      </c>
      <c r="R59" t="str">
        <f t="shared" si="3"/>
        <v>22KW</v>
      </c>
      <c r="S59" t="str">
        <f t="shared" si="4"/>
        <v>INCREMENTAL</v>
      </c>
      <c r="T59" t="str">
        <f t="shared" si="9"/>
        <v>LEFT HINGE</v>
      </c>
      <c r="U59" t="str">
        <f t="shared" si="5"/>
        <v>MRLALL SUS-HL일반형210022KWINCREMENTALLEFT HINGE</v>
      </c>
      <c r="V59" t="str">
        <f t="shared" si="6"/>
        <v>20410987G3900</v>
      </c>
      <c r="W59" t="str">
        <f t="shared" si="7"/>
        <v>WBSS-SE 일반형</v>
      </c>
      <c r="X59" t="s">
        <v>1966</v>
      </c>
      <c r="Y59" s="1" t="s">
        <v>1967</v>
      </c>
      <c r="Z59" t="s">
        <v>1952</v>
      </c>
      <c r="AA59" t="s">
        <v>2013</v>
      </c>
    </row>
    <row r="60" spans="1:27">
      <c r="A60" s="14">
        <f t="shared" ca="1" si="0"/>
        <v>49</v>
      </c>
      <c r="B60" s="24" t="s">
        <v>2003</v>
      </c>
      <c r="C60" s="24" t="s">
        <v>746</v>
      </c>
      <c r="D60" s="24" t="s">
        <v>2074</v>
      </c>
      <c r="E60" s="24" t="s">
        <v>2014</v>
      </c>
      <c r="F60" s="24" t="s">
        <v>1933</v>
      </c>
      <c r="G60" s="24" t="s">
        <v>1013</v>
      </c>
      <c r="H60" s="24" t="s">
        <v>1955</v>
      </c>
      <c r="I60" s="30" t="s">
        <v>2005</v>
      </c>
      <c r="J60" s="24">
        <v>2200</v>
      </c>
      <c r="K60" s="24" t="s">
        <v>1845</v>
      </c>
      <c r="L60" s="6" t="str">
        <f t="shared" si="1"/>
        <v>일반, 7.5KW, INCREMENTAL, ALL SUS, 2200, LEFT HINGE</v>
      </c>
      <c r="N60" t="s">
        <v>99</v>
      </c>
      <c r="O60" t="s">
        <v>2006</v>
      </c>
      <c r="P60" t="s">
        <v>77</v>
      </c>
      <c r="Q60">
        <f t="shared" si="8"/>
        <v>2200</v>
      </c>
      <c r="R60" t="str">
        <f t="shared" si="3"/>
        <v>7.5KW</v>
      </c>
      <c r="S60" t="str">
        <f t="shared" si="4"/>
        <v>INCREMENTAL</v>
      </c>
      <c r="T60" t="str">
        <f t="shared" si="9"/>
        <v>LEFT HINGE</v>
      </c>
      <c r="U60" t="str">
        <f t="shared" si="5"/>
        <v>MRLALL SUS-HL일반형22007.5KWINCREMENTALLEFT HINGE</v>
      </c>
      <c r="V60" t="str">
        <f t="shared" si="6"/>
        <v>20410987G4100</v>
      </c>
      <c r="W60" t="str">
        <f t="shared" si="7"/>
        <v>WBSS-SE 일반형</v>
      </c>
      <c r="X60" t="s">
        <v>1956</v>
      </c>
      <c r="Y60" s="1" t="s">
        <v>1957</v>
      </c>
      <c r="Z60" t="s">
        <v>1937</v>
      </c>
      <c r="AA60" t="s">
        <v>2015</v>
      </c>
    </row>
    <row r="61" spans="1:27">
      <c r="A61" s="14">
        <f t="shared" ca="1" si="0"/>
        <v>50</v>
      </c>
      <c r="B61" s="24" t="s">
        <v>2003</v>
      </c>
      <c r="C61" s="24" t="s">
        <v>746</v>
      </c>
      <c r="D61" s="24" t="s">
        <v>2075</v>
      </c>
      <c r="E61" s="24" t="s">
        <v>2014</v>
      </c>
      <c r="F61" s="24" t="s">
        <v>1933</v>
      </c>
      <c r="G61" s="24" t="s">
        <v>1016</v>
      </c>
      <c r="H61" s="24" t="s">
        <v>1955</v>
      </c>
      <c r="I61" s="30" t="s">
        <v>2005</v>
      </c>
      <c r="J61" s="24">
        <v>2200</v>
      </c>
      <c r="K61" s="24" t="s">
        <v>1845</v>
      </c>
      <c r="L61" s="6" t="str">
        <f t="shared" si="1"/>
        <v>일반, 11KW, INCREMENTAL, ALL SUS, 2200, LEFT HINGE</v>
      </c>
      <c r="N61" t="s">
        <v>99</v>
      </c>
      <c r="O61" t="s">
        <v>2006</v>
      </c>
      <c r="P61" t="s">
        <v>77</v>
      </c>
      <c r="Q61">
        <f t="shared" si="8"/>
        <v>2200</v>
      </c>
      <c r="R61" t="str">
        <f t="shared" si="3"/>
        <v>11KW</v>
      </c>
      <c r="S61" t="str">
        <f t="shared" si="4"/>
        <v>INCREMENTAL</v>
      </c>
      <c r="T61" t="str">
        <f t="shared" si="9"/>
        <v>LEFT HINGE</v>
      </c>
      <c r="U61" t="str">
        <f t="shared" si="5"/>
        <v>MRLALL SUS-HL일반형220011KWINCREMENTALLEFT HINGE</v>
      </c>
      <c r="V61" t="str">
        <f t="shared" si="6"/>
        <v>20410987G4200</v>
      </c>
      <c r="W61" t="str">
        <f t="shared" si="7"/>
        <v>WBSS-SE 일반형</v>
      </c>
      <c r="X61" t="s">
        <v>1959</v>
      </c>
      <c r="Y61" s="1" t="s">
        <v>1960</v>
      </c>
      <c r="Z61" t="s">
        <v>1942</v>
      </c>
      <c r="AA61" t="s">
        <v>2016</v>
      </c>
    </row>
    <row r="62" spans="1:27">
      <c r="A62" s="14">
        <f t="shared" ca="1" si="0"/>
        <v>51</v>
      </c>
      <c r="B62" s="24" t="s">
        <v>2003</v>
      </c>
      <c r="C62" s="24" t="s">
        <v>746</v>
      </c>
      <c r="D62" s="24" t="s">
        <v>2076</v>
      </c>
      <c r="E62" s="24" t="s">
        <v>2014</v>
      </c>
      <c r="F62" s="24" t="s">
        <v>1933</v>
      </c>
      <c r="G62" s="24" t="s">
        <v>1018</v>
      </c>
      <c r="H62" s="24" t="s">
        <v>1955</v>
      </c>
      <c r="I62" s="30" t="s">
        <v>2005</v>
      </c>
      <c r="J62" s="24">
        <v>2200</v>
      </c>
      <c r="K62" s="24" t="s">
        <v>1845</v>
      </c>
      <c r="L62" s="6" t="str">
        <f t="shared" si="1"/>
        <v>일반, 15KW, INCREMENTAL, ALL SUS, 2200, LEFT HINGE</v>
      </c>
      <c r="N62" t="s">
        <v>99</v>
      </c>
      <c r="O62" t="s">
        <v>2006</v>
      </c>
      <c r="P62" t="s">
        <v>77</v>
      </c>
      <c r="Q62">
        <f t="shared" si="8"/>
        <v>2200</v>
      </c>
      <c r="R62" t="str">
        <f t="shared" si="3"/>
        <v>15KW</v>
      </c>
      <c r="S62" t="str">
        <f t="shared" si="4"/>
        <v>INCREMENTAL</v>
      </c>
      <c r="T62" t="str">
        <f t="shared" si="9"/>
        <v>LEFT HINGE</v>
      </c>
      <c r="U62" t="str">
        <f t="shared" si="5"/>
        <v>MRLALL SUS-HL일반형220015KWINCREMENTALLEFT HINGE</v>
      </c>
      <c r="V62" t="str">
        <f t="shared" si="6"/>
        <v>20410987G4300</v>
      </c>
      <c r="W62" t="str">
        <f t="shared" si="7"/>
        <v>WBSS-SE 일반형</v>
      </c>
      <c r="X62" t="s">
        <v>1963</v>
      </c>
      <c r="Y62" s="1" t="s">
        <v>1964</v>
      </c>
      <c r="Z62" t="s">
        <v>1947</v>
      </c>
      <c r="AA62" t="s">
        <v>2017</v>
      </c>
    </row>
    <row r="63" spans="1:27">
      <c r="A63" s="14">
        <f t="shared" ca="1" si="0"/>
        <v>52</v>
      </c>
      <c r="B63" s="24" t="s">
        <v>2003</v>
      </c>
      <c r="C63" s="24" t="s">
        <v>746</v>
      </c>
      <c r="D63" s="24" t="s">
        <v>2077</v>
      </c>
      <c r="E63" s="24" t="s">
        <v>2018</v>
      </c>
      <c r="F63" s="24" t="s">
        <v>1933</v>
      </c>
      <c r="G63" s="24" t="s">
        <v>1020</v>
      </c>
      <c r="H63" s="24" t="s">
        <v>1955</v>
      </c>
      <c r="I63" s="30" t="s">
        <v>2005</v>
      </c>
      <c r="J63" s="24">
        <v>2200</v>
      </c>
      <c r="K63" s="24" t="s">
        <v>1845</v>
      </c>
      <c r="L63" s="6" t="str">
        <f t="shared" si="1"/>
        <v>일반, 22KW, INCREMENTAL, ALL SUS, 2200, LEFT HINGE</v>
      </c>
      <c r="N63" t="s">
        <v>99</v>
      </c>
      <c r="O63" t="s">
        <v>2006</v>
      </c>
      <c r="P63" t="s">
        <v>77</v>
      </c>
      <c r="Q63">
        <f t="shared" si="8"/>
        <v>2200</v>
      </c>
      <c r="R63" t="str">
        <f t="shared" si="3"/>
        <v>22KW</v>
      </c>
      <c r="S63" t="str">
        <f t="shared" si="4"/>
        <v>INCREMENTAL</v>
      </c>
      <c r="T63" t="str">
        <f t="shared" si="9"/>
        <v>LEFT HINGE</v>
      </c>
      <c r="U63" t="str">
        <f t="shared" si="5"/>
        <v>MRLALL SUS-HL일반형220022KWINCREMENTALLEFT HINGE</v>
      </c>
      <c r="V63" t="str">
        <f t="shared" si="6"/>
        <v>20410987G4400</v>
      </c>
      <c r="W63" t="str">
        <f t="shared" si="7"/>
        <v>WBSS-SE 일반형</v>
      </c>
      <c r="X63" t="s">
        <v>1966</v>
      </c>
      <c r="Y63" s="1" t="s">
        <v>1967</v>
      </c>
      <c r="Z63" t="s">
        <v>1952</v>
      </c>
      <c r="AA63" t="s">
        <v>2019</v>
      </c>
    </row>
    <row r="64" spans="1:27">
      <c r="A64" s="13">
        <f t="shared" ca="1" si="0"/>
        <v>53</v>
      </c>
      <c r="B64" s="1" t="s">
        <v>2003</v>
      </c>
      <c r="C64" s="1" t="s">
        <v>746</v>
      </c>
      <c r="D64" s="1" t="s">
        <v>2078</v>
      </c>
      <c r="E64" s="1" t="s">
        <v>2021</v>
      </c>
      <c r="F64" s="1" t="s">
        <v>1933</v>
      </c>
      <c r="G64" s="1" t="s">
        <v>1013</v>
      </c>
      <c r="H64" s="1" t="s">
        <v>1955</v>
      </c>
      <c r="I64" s="30" t="s">
        <v>2005</v>
      </c>
      <c r="J64" s="1">
        <v>2400</v>
      </c>
      <c r="K64" s="1" t="s">
        <v>1845</v>
      </c>
      <c r="L64" s="6" t="str">
        <f t="shared" si="1"/>
        <v>일반, 7.5KW, INCREMENTAL, ALL SUS, 2400, LEFT HINGE</v>
      </c>
      <c r="N64" t="s">
        <v>99</v>
      </c>
      <c r="O64" t="s">
        <v>2006</v>
      </c>
      <c r="P64" t="s">
        <v>77</v>
      </c>
      <c r="Q64">
        <f t="shared" si="8"/>
        <v>2400</v>
      </c>
      <c r="R64" t="str">
        <f t="shared" si="3"/>
        <v>7.5KW</v>
      </c>
      <c r="S64" t="str">
        <f t="shared" si="4"/>
        <v>INCREMENTAL</v>
      </c>
      <c r="T64" t="str">
        <f t="shared" si="9"/>
        <v>LEFT HINGE</v>
      </c>
      <c r="U64" t="str">
        <f t="shared" si="5"/>
        <v>MRLALL SUS-HL일반형24007.5KWINCREMENTALLEFT HINGE</v>
      </c>
      <c r="V64" t="str">
        <f t="shared" si="6"/>
        <v>20410987G4600</v>
      </c>
      <c r="W64" t="str">
        <f t="shared" si="7"/>
        <v>WBSS-SE 일반형</v>
      </c>
      <c r="X64" t="s">
        <v>1956</v>
      </c>
      <c r="Y64" s="1" t="s">
        <v>1957</v>
      </c>
      <c r="Z64" t="s">
        <v>1937</v>
      </c>
      <c r="AA64" t="s">
        <v>2022</v>
      </c>
    </row>
    <row r="65" spans="1:27">
      <c r="A65" s="13">
        <f t="shared" ca="1" si="0"/>
        <v>54</v>
      </c>
      <c r="B65" s="1" t="s">
        <v>2003</v>
      </c>
      <c r="C65" s="1" t="s">
        <v>746</v>
      </c>
      <c r="D65" s="1" t="s">
        <v>2079</v>
      </c>
      <c r="E65" s="1" t="s">
        <v>2021</v>
      </c>
      <c r="F65" s="1" t="s">
        <v>1933</v>
      </c>
      <c r="G65" s="1" t="s">
        <v>1016</v>
      </c>
      <c r="H65" s="1" t="s">
        <v>1955</v>
      </c>
      <c r="I65" s="30" t="s">
        <v>2005</v>
      </c>
      <c r="J65" s="1">
        <v>2400</v>
      </c>
      <c r="K65" s="1" t="s">
        <v>1845</v>
      </c>
      <c r="L65" s="6" t="str">
        <f t="shared" si="1"/>
        <v>일반, 11KW, INCREMENTAL, ALL SUS, 2400, LEFT HINGE</v>
      </c>
      <c r="N65" t="s">
        <v>99</v>
      </c>
      <c r="O65" t="s">
        <v>2006</v>
      </c>
      <c r="P65" t="s">
        <v>77</v>
      </c>
      <c r="Q65">
        <f t="shared" si="8"/>
        <v>2400</v>
      </c>
      <c r="R65" t="str">
        <f t="shared" si="3"/>
        <v>11KW</v>
      </c>
      <c r="S65" t="str">
        <f t="shared" si="4"/>
        <v>INCREMENTAL</v>
      </c>
      <c r="T65" t="str">
        <f t="shared" si="9"/>
        <v>LEFT HINGE</v>
      </c>
      <c r="U65" t="str">
        <f t="shared" si="5"/>
        <v>MRLALL SUS-HL일반형240011KWINCREMENTALLEFT HINGE</v>
      </c>
      <c r="V65" t="str">
        <f t="shared" si="6"/>
        <v>20410987G4700</v>
      </c>
      <c r="W65" t="str">
        <f t="shared" si="7"/>
        <v>WBSS-SE 일반형</v>
      </c>
      <c r="X65" t="s">
        <v>1959</v>
      </c>
      <c r="Y65" s="1" t="s">
        <v>1960</v>
      </c>
      <c r="Z65" t="s">
        <v>1942</v>
      </c>
      <c r="AA65" t="s">
        <v>2024</v>
      </c>
    </row>
    <row r="66" spans="1:27">
      <c r="A66" s="13">
        <f t="shared" ca="1" si="0"/>
        <v>55</v>
      </c>
      <c r="B66" s="1" t="s">
        <v>2003</v>
      </c>
      <c r="C66" s="1" t="s">
        <v>746</v>
      </c>
      <c r="D66" s="1" t="s">
        <v>2080</v>
      </c>
      <c r="E66" s="1" t="s">
        <v>2021</v>
      </c>
      <c r="F66" s="1" t="s">
        <v>1933</v>
      </c>
      <c r="G66" s="1" t="s">
        <v>1018</v>
      </c>
      <c r="H66" s="1" t="s">
        <v>1955</v>
      </c>
      <c r="I66" s="30" t="s">
        <v>2005</v>
      </c>
      <c r="J66" s="1">
        <v>2400</v>
      </c>
      <c r="K66" s="1" t="s">
        <v>1845</v>
      </c>
      <c r="L66" s="6" t="str">
        <f t="shared" si="1"/>
        <v>일반, 15KW, INCREMENTAL, ALL SUS, 2400, LEFT HINGE</v>
      </c>
      <c r="N66" t="s">
        <v>99</v>
      </c>
      <c r="O66" t="s">
        <v>2006</v>
      </c>
      <c r="P66" t="s">
        <v>77</v>
      </c>
      <c r="Q66">
        <f t="shared" si="8"/>
        <v>2400</v>
      </c>
      <c r="R66" t="str">
        <f t="shared" si="3"/>
        <v>15KW</v>
      </c>
      <c r="S66" t="str">
        <f t="shared" si="4"/>
        <v>INCREMENTAL</v>
      </c>
      <c r="T66" t="str">
        <f t="shared" si="9"/>
        <v>LEFT HINGE</v>
      </c>
      <c r="U66" t="str">
        <f t="shared" si="5"/>
        <v>MRLALL SUS-HL일반형240015KWINCREMENTALLEFT HINGE</v>
      </c>
      <c r="V66" t="str">
        <f t="shared" si="6"/>
        <v>20410987G4800</v>
      </c>
      <c r="W66" t="str">
        <f t="shared" si="7"/>
        <v>WBSS-SE 일반형</v>
      </c>
      <c r="X66" t="s">
        <v>1963</v>
      </c>
      <c r="Y66" s="1" t="s">
        <v>1964</v>
      </c>
      <c r="Z66" t="s">
        <v>1947</v>
      </c>
      <c r="AA66" t="s">
        <v>2026</v>
      </c>
    </row>
    <row r="67" spans="1:27">
      <c r="A67" s="13">
        <f t="shared" ca="1" si="0"/>
        <v>56</v>
      </c>
      <c r="B67" s="1" t="s">
        <v>2003</v>
      </c>
      <c r="C67" s="1" t="s">
        <v>746</v>
      </c>
      <c r="D67" s="1" t="s">
        <v>2081</v>
      </c>
      <c r="E67" s="1" t="s">
        <v>2028</v>
      </c>
      <c r="F67" s="1" t="s">
        <v>1933</v>
      </c>
      <c r="G67" s="1" t="s">
        <v>1020</v>
      </c>
      <c r="H67" s="1" t="s">
        <v>1955</v>
      </c>
      <c r="I67" s="30" t="s">
        <v>2005</v>
      </c>
      <c r="J67" s="1">
        <v>2400</v>
      </c>
      <c r="K67" s="1" t="s">
        <v>1845</v>
      </c>
      <c r="L67" s="6" t="str">
        <f t="shared" si="1"/>
        <v>일반, 22KW, INCREMENTAL, ALL SUS, 2400, LEFT HINGE</v>
      </c>
      <c r="N67" t="s">
        <v>99</v>
      </c>
      <c r="O67" t="s">
        <v>2006</v>
      </c>
      <c r="P67" t="s">
        <v>77</v>
      </c>
      <c r="Q67">
        <f t="shared" si="8"/>
        <v>2400</v>
      </c>
      <c r="R67" t="str">
        <f t="shared" si="3"/>
        <v>22KW</v>
      </c>
      <c r="S67" t="str">
        <f t="shared" si="4"/>
        <v>INCREMENTAL</v>
      </c>
      <c r="T67" t="str">
        <f t="shared" si="9"/>
        <v>LEFT HINGE</v>
      </c>
      <c r="U67" t="str">
        <f t="shared" si="5"/>
        <v>MRLALL SUS-HL일반형240022KWINCREMENTALLEFT HINGE</v>
      </c>
      <c r="V67" t="str">
        <f t="shared" si="6"/>
        <v>20410987G4900</v>
      </c>
      <c r="W67" t="str">
        <f t="shared" si="7"/>
        <v>WBSS-SE 일반형</v>
      </c>
      <c r="X67" t="s">
        <v>1966</v>
      </c>
      <c r="Y67" s="1" t="s">
        <v>1967</v>
      </c>
      <c r="Z67" t="s">
        <v>1952</v>
      </c>
      <c r="AA67" t="s">
        <v>2029</v>
      </c>
    </row>
    <row r="68" spans="1:27">
      <c r="A68" s="14">
        <f t="shared" ca="1" si="0"/>
        <v>57</v>
      </c>
      <c r="B68" s="24" t="s">
        <v>2003</v>
      </c>
      <c r="C68" s="24" t="s">
        <v>746</v>
      </c>
      <c r="D68" s="24" t="s">
        <v>2082</v>
      </c>
      <c r="E68" s="24" t="s">
        <v>2030</v>
      </c>
      <c r="F68" s="24" t="s">
        <v>1933</v>
      </c>
      <c r="G68" s="24" t="s">
        <v>1013</v>
      </c>
      <c r="H68" s="24" t="s">
        <v>1955</v>
      </c>
      <c r="I68" s="30" t="s">
        <v>2005</v>
      </c>
      <c r="J68" s="24">
        <v>2100</v>
      </c>
      <c r="K68" s="24" t="s">
        <v>1853</v>
      </c>
      <c r="L68" s="6" t="str">
        <f t="shared" si="1"/>
        <v>일반, 7.5KW, INCREMENTAL, ALL SUS, 2100, RIGHT HINGE</v>
      </c>
      <c r="N68" t="s">
        <v>99</v>
      </c>
      <c r="O68" t="s">
        <v>2006</v>
      </c>
      <c r="P68" t="s">
        <v>77</v>
      </c>
      <c r="Q68">
        <f t="shared" si="8"/>
        <v>2100</v>
      </c>
      <c r="R68" t="str">
        <f t="shared" si="3"/>
        <v>7.5KW</v>
      </c>
      <c r="S68" t="str">
        <f t="shared" si="4"/>
        <v>INCREMENTAL</v>
      </c>
      <c r="T68" t="str">
        <f t="shared" si="9"/>
        <v>RIGHT HINGE</v>
      </c>
      <c r="U68" t="str">
        <f t="shared" si="5"/>
        <v>MRLALL SUS-HL일반형21007.5KWINCREMENTALRIGHT HINGE</v>
      </c>
      <c r="V68" t="str">
        <f t="shared" si="6"/>
        <v>20410987G5100</v>
      </c>
      <c r="W68" t="str">
        <f t="shared" si="7"/>
        <v>WBSS-SE 일반형</v>
      </c>
      <c r="X68" t="s">
        <v>1956</v>
      </c>
      <c r="Y68" s="1" t="s">
        <v>1957</v>
      </c>
      <c r="Z68" t="s">
        <v>1937</v>
      </c>
      <c r="AA68" t="s">
        <v>2031</v>
      </c>
    </row>
    <row r="69" spans="1:27">
      <c r="A69" s="14">
        <f t="shared" ca="1" si="0"/>
        <v>58</v>
      </c>
      <c r="B69" s="24" t="s">
        <v>2003</v>
      </c>
      <c r="C69" s="24" t="s">
        <v>746</v>
      </c>
      <c r="D69" s="24" t="s">
        <v>2083</v>
      </c>
      <c r="E69" s="24" t="s">
        <v>2030</v>
      </c>
      <c r="F69" s="24" t="s">
        <v>1933</v>
      </c>
      <c r="G69" s="24" t="s">
        <v>1016</v>
      </c>
      <c r="H69" s="24" t="s">
        <v>1955</v>
      </c>
      <c r="I69" s="30" t="s">
        <v>2005</v>
      </c>
      <c r="J69" s="24">
        <v>2100</v>
      </c>
      <c r="K69" s="24" t="s">
        <v>1853</v>
      </c>
      <c r="L69" s="6" t="str">
        <f t="shared" si="1"/>
        <v>일반, 11KW, INCREMENTAL, ALL SUS, 2100, RIGHT HINGE</v>
      </c>
      <c r="N69" t="s">
        <v>99</v>
      </c>
      <c r="O69" t="s">
        <v>2006</v>
      </c>
      <c r="P69" t="s">
        <v>77</v>
      </c>
      <c r="Q69">
        <f t="shared" si="8"/>
        <v>2100</v>
      </c>
      <c r="R69" t="str">
        <f t="shared" si="3"/>
        <v>11KW</v>
      </c>
      <c r="S69" t="str">
        <f t="shared" si="4"/>
        <v>INCREMENTAL</v>
      </c>
      <c r="T69" t="str">
        <f t="shared" si="9"/>
        <v>RIGHT HINGE</v>
      </c>
      <c r="U69" t="str">
        <f t="shared" si="5"/>
        <v>MRLALL SUS-HL일반형210011KWINCREMENTALRIGHT HINGE</v>
      </c>
      <c r="V69" t="str">
        <f t="shared" si="6"/>
        <v>20410987G5200</v>
      </c>
      <c r="W69" t="str">
        <f t="shared" si="7"/>
        <v>WBSS-SE 일반형</v>
      </c>
      <c r="X69" t="s">
        <v>1959</v>
      </c>
      <c r="Y69" s="1" t="s">
        <v>1960</v>
      </c>
      <c r="Z69" t="s">
        <v>1942</v>
      </c>
      <c r="AA69" t="s">
        <v>2033</v>
      </c>
    </row>
    <row r="70" spans="1:27">
      <c r="A70" s="14">
        <f t="shared" ca="1" si="0"/>
        <v>59</v>
      </c>
      <c r="B70" s="24" t="s">
        <v>2003</v>
      </c>
      <c r="C70" s="24" t="s">
        <v>746</v>
      </c>
      <c r="D70" s="24" t="s">
        <v>2084</v>
      </c>
      <c r="E70" s="24" t="s">
        <v>2030</v>
      </c>
      <c r="F70" s="24" t="s">
        <v>1933</v>
      </c>
      <c r="G70" s="24" t="s">
        <v>1018</v>
      </c>
      <c r="H70" s="24" t="s">
        <v>1955</v>
      </c>
      <c r="I70" s="30" t="s">
        <v>2005</v>
      </c>
      <c r="J70" s="24">
        <v>2100</v>
      </c>
      <c r="K70" s="24" t="s">
        <v>1853</v>
      </c>
      <c r="L70" s="6" t="str">
        <f t="shared" si="1"/>
        <v>일반, 15KW, INCREMENTAL, ALL SUS, 2100, RIGHT HINGE</v>
      </c>
      <c r="N70" t="s">
        <v>99</v>
      </c>
      <c r="O70" t="s">
        <v>2006</v>
      </c>
      <c r="P70" t="s">
        <v>77</v>
      </c>
      <c r="Q70">
        <f t="shared" si="8"/>
        <v>2100</v>
      </c>
      <c r="R70" t="str">
        <f t="shared" si="3"/>
        <v>15KW</v>
      </c>
      <c r="S70" t="str">
        <f t="shared" si="4"/>
        <v>INCREMENTAL</v>
      </c>
      <c r="T70" t="str">
        <f t="shared" si="9"/>
        <v>RIGHT HINGE</v>
      </c>
      <c r="U70" t="str">
        <f t="shared" si="5"/>
        <v>MRLALL SUS-HL일반형210015KWINCREMENTALRIGHT HINGE</v>
      </c>
      <c r="V70" t="str">
        <f t="shared" si="6"/>
        <v>20410987G5300</v>
      </c>
      <c r="W70" t="str">
        <f t="shared" si="7"/>
        <v>WBSS-SE 일반형</v>
      </c>
      <c r="X70" t="s">
        <v>1963</v>
      </c>
      <c r="Y70" s="1" t="s">
        <v>1964</v>
      </c>
      <c r="Z70" t="s">
        <v>1947</v>
      </c>
      <c r="AA70" t="s">
        <v>2035</v>
      </c>
    </row>
    <row r="71" spans="1:27">
      <c r="A71" s="14">
        <f t="shared" ca="1" si="0"/>
        <v>60</v>
      </c>
      <c r="B71" s="24" t="s">
        <v>2003</v>
      </c>
      <c r="C71" s="24" t="s">
        <v>746</v>
      </c>
      <c r="D71" s="24" t="s">
        <v>2085</v>
      </c>
      <c r="E71" s="24" t="s">
        <v>2037</v>
      </c>
      <c r="F71" s="24" t="s">
        <v>1933</v>
      </c>
      <c r="G71" s="24" t="s">
        <v>1020</v>
      </c>
      <c r="H71" s="24" t="s">
        <v>1955</v>
      </c>
      <c r="I71" s="30" t="s">
        <v>2005</v>
      </c>
      <c r="J71" s="24">
        <v>2100</v>
      </c>
      <c r="K71" s="24" t="s">
        <v>1853</v>
      </c>
      <c r="L71" s="6" t="str">
        <f t="shared" si="1"/>
        <v>일반, 22KW, INCREMENTAL, ALL SUS, 2100, RIGHT HINGE</v>
      </c>
      <c r="N71" t="s">
        <v>99</v>
      </c>
      <c r="O71" t="s">
        <v>2006</v>
      </c>
      <c r="P71" t="s">
        <v>77</v>
      </c>
      <c r="Q71">
        <f t="shared" si="8"/>
        <v>2100</v>
      </c>
      <c r="R71" t="str">
        <f t="shared" si="3"/>
        <v>22KW</v>
      </c>
      <c r="S71" t="str">
        <f t="shared" si="4"/>
        <v>INCREMENTAL</v>
      </c>
      <c r="T71" t="str">
        <f t="shared" si="9"/>
        <v>RIGHT HINGE</v>
      </c>
      <c r="U71" t="str">
        <f t="shared" si="5"/>
        <v>MRLALL SUS-HL일반형210022KWINCREMENTALRIGHT HINGE</v>
      </c>
      <c r="V71" t="str">
        <f t="shared" si="6"/>
        <v>20410987G5400</v>
      </c>
      <c r="W71" t="str">
        <f t="shared" si="7"/>
        <v>WBSS-SE 일반형</v>
      </c>
      <c r="X71" t="s">
        <v>1966</v>
      </c>
      <c r="Y71" s="1" t="s">
        <v>1967</v>
      </c>
      <c r="Z71" t="s">
        <v>1952</v>
      </c>
      <c r="AA71" t="s">
        <v>2038</v>
      </c>
    </row>
    <row r="72" spans="1:27">
      <c r="A72" s="13">
        <f t="shared" ca="1" si="0"/>
        <v>61</v>
      </c>
      <c r="B72" s="1" t="s">
        <v>2003</v>
      </c>
      <c r="C72" s="1" t="s">
        <v>746</v>
      </c>
      <c r="D72" s="1" t="s">
        <v>2086</v>
      </c>
      <c r="E72" s="1" t="s">
        <v>2040</v>
      </c>
      <c r="F72" s="1" t="s">
        <v>1933</v>
      </c>
      <c r="G72" s="1" t="s">
        <v>1013</v>
      </c>
      <c r="H72" s="1" t="s">
        <v>1955</v>
      </c>
      <c r="I72" s="30" t="s">
        <v>2005</v>
      </c>
      <c r="J72" s="1">
        <v>2200</v>
      </c>
      <c r="K72" s="1" t="s">
        <v>1853</v>
      </c>
      <c r="L72" s="6" t="str">
        <f t="shared" si="1"/>
        <v>일반, 7.5KW, INCREMENTAL, ALL SUS, 2200, RIGHT HINGE</v>
      </c>
      <c r="N72" t="s">
        <v>99</v>
      </c>
      <c r="O72" t="s">
        <v>2006</v>
      </c>
      <c r="P72" t="s">
        <v>77</v>
      </c>
      <c r="Q72">
        <f t="shared" si="8"/>
        <v>2200</v>
      </c>
      <c r="R72" t="str">
        <f t="shared" si="3"/>
        <v>7.5KW</v>
      </c>
      <c r="S72" t="str">
        <f t="shared" si="4"/>
        <v>INCREMENTAL</v>
      </c>
      <c r="T72" t="str">
        <f t="shared" si="9"/>
        <v>RIGHT HINGE</v>
      </c>
      <c r="U72" t="str">
        <f t="shared" si="5"/>
        <v>MRLALL SUS-HL일반형22007.5KWINCREMENTALRIGHT HINGE</v>
      </c>
      <c r="V72" t="str">
        <f t="shared" si="6"/>
        <v>20410987G5600</v>
      </c>
      <c r="W72" t="str">
        <f t="shared" si="7"/>
        <v>WBSS-SE 일반형</v>
      </c>
      <c r="X72" t="s">
        <v>1956</v>
      </c>
      <c r="Y72" s="1" t="s">
        <v>1957</v>
      </c>
      <c r="Z72" t="s">
        <v>1937</v>
      </c>
      <c r="AA72" t="s">
        <v>2041</v>
      </c>
    </row>
    <row r="73" spans="1:27">
      <c r="A73" s="13">
        <f t="shared" ca="1" si="0"/>
        <v>62</v>
      </c>
      <c r="B73" s="1" t="s">
        <v>2003</v>
      </c>
      <c r="C73" s="1" t="s">
        <v>746</v>
      </c>
      <c r="D73" s="1" t="s">
        <v>2087</v>
      </c>
      <c r="E73" s="1" t="s">
        <v>2040</v>
      </c>
      <c r="F73" s="1" t="s">
        <v>1933</v>
      </c>
      <c r="G73" s="1" t="s">
        <v>1016</v>
      </c>
      <c r="H73" s="1" t="s">
        <v>1955</v>
      </c>
      <c r="I73" s="30" t="s">
        <v>2005</v>
      </c>
      <c r="J73" s="1">
        <v>2200</v>
      </c>
      <c r="K73" s="1" t="s">
        <v>1853</v>
      </c>
      <c r="L73" s="6" t="str">
        <f t="shared" si="1"/>
        <v>일반, 11KW, INCREMENTAL, ALL SUS, 2200, RIGHT HINGE</v>
      </c>
      <c r="N73" t="s">
        <v>99</v>
      </c>
      <c r="O73" t="s">
        <v>2006</v>
      </c>
      <c r="P73" t="s">
        <v>77</v>
      </c>
      <c r="Q73">
        <f t="shared" si="8"/>
        <v>2200</v>
      </c>
      <c r="R73" t="str">
        <f t="shared" si="3"/>
        <v>11KW</v>
      </c>
      <c r="S73" t="str">
        <f t="shared" si="4"/>
        <v>INCREMENTAL</v>
      </c>
      <c r="T73" t="str">
        <f t="shared" si="9"/>
        <v>RIGHT HINGE</v>
      </c>
      <c r="U73" t="str">
        <f t="shared" si="5"/>
        <v>MRLALL SUS-HL일반형220011KWINCREMENTALRIGHT HINGE</v>
      </c>
      <c r="V73" t="str">
        <f t="shared" si="6"/>
        <v>20410987G5700</v>
      </c>
      <c r="W73" t="str">
        <f t="shared" si="7"/>
        <v>WBSS-SE 일반형</v>
      </c>
      <c r="X73" t="s">
        <v>1959</v>
      </c>
      <c r="Y73" s="1" t="s">
        <v>1960</v>
      </c>
      <c r="Z73" t="s">
        <v>1942</v>
      </c>
      <c r="AA73" t="s">
        <v>2043</v>
      </c>
    </row>
    <row r="74" spans="1:27">
      <c r="A74" s="13">
        <f t="shared" ca="1" si="0"/>
        <v>63</v>
      </c>
      <c r="B74" s="1" t="s">
        <v>2003</v>
      </c>
      <c r="C74" s="1" t="s">
        <v>746</v>
      </c>
      <c r="D74" s="1" t="s">
        <v>2088</v>
      </c>
      <c r="E74" s="1" t="s">
        <v>2040</v>
      </c>
      <c r="F74" s="1" t="s">
        <v>1933</v>
      </c>
      <c r="G74" s="1" t="s">
        <v>1018</v>
      </c>
      <c r="H74" s="1" t="s">
        <v>1955</v>
      </c>
      <c r="I74" s="30" t="s">
        <v>2005</v>
      </c>
      <c r="J74" s="1">
        <v>2200</v>
      </c>
      <c r="K74" s="1" t="s">
        <v>1853</v>
      </c>
      <c r="L74" s="6" t="str">
        <f t="shared" si="1"/>
        <v>일반, 15KW, INCREMENTAL, ALL SUS, 2200, RIGHT HINGE</v>
      </c>
      <c r="N74" t="s">
        <v>99</v>
      </c>
      <c r="O74" t="s">
        <v>2006</v>
      </c>
      <c r="P74" t="s">
        <v>77</v>
      </c>
      <c r="Q74">
        <f t="shared" si="8"/>
        <v>2200</v>
      </c>
      <c r="R74" t="str">
        <f t="shared" si="3"/>
        <v>15KW</v>
      </c>
      <c r="S74" t="str">
        <f t="shared" si="4"/>
        <v>INCREMENTAL</v>
      </c>
      <c r="T74" t="str">
        <f t="shared" si="9"/>
        <v>RIGHT HINGE</v>
      </c>
      <c r="U74" t="str">
        <f t="shared" si="5"/>
        <v>MRLALL SUS-HL일반형220015KWINCREMENTALRIGHT HINGE</v>
      </c>
      <c r="V74" t="str">
        <f t="shared" si="6"/>
        <v>20410987G5800</v>
      </c>
      <c r="W74" t="str">
        <f t="shared" si="7"/>
        <v>WBSS-SE 일반형</v>
      </c>
      <c r="X74" t="s">
        <v>1963</v>
      </c>
      <c r="Y74" s="1" t="s">
        <v>1964</v>
      </c>
      <c r="Z74" t="s">
        <v>1947</v>
      </c>
      <c r="AA74" t="s">
        <v>2045</v>
      </c>
    </row>
    <row r="75" spans="1:27">
      <c r="A75" s="13">
        <f t="shared" ca="1" si="0"/>
        <v>64</v>
      </c>
      <c r="B75" s="1" t="s">
        <v>2003</v>
      </c>
      <c r="C75" s="1" t="s">
        <v>746</v>
      </c>
      <c r="D75" s="1" t="s">
        <v>2089</v>
      </c>
      <c r="E75" s="1" t="s">
        <v>2047</v>
      </c>
      <c r="F75" s="1" t="s">
        <v>1933</v>
      </c>
      <c r="G75" s="1" t="s">
        <v>1020</v>
      </c>
      <c r="H75" s="1" t="s">
        <v>1955</v>
      </c>
      <c r="I75" s="30" t="s">
        <v>2005</v>
      </c>
      <c r="J75" s="1">
        <v>2200</v>
      </c>
      <c r="K75" s="1" t="s">
        <v>1853</v>
      </c>
      <c r="L75" s="6" t="str">
        <f t="shared" si="1"/>
        <v>일반, 22KW, INCREMENTAL, ALL SUS, 2200, RIGHT HINGE</v>
      </c>
      <c r="N75" t="s">
        <v>99</v>
      </c>
      <c r="O75" t="s">
        <v>2006</v>
      </c>
      <c r="P75" t="s">
        <v>77</v>
      </c>
      <c r="Q75">
        <f t="shared" si="8"/>
        <v>2200</v>
      </c>
      <c r="R75" t="str">
        <f t="shared" si="3"/>
        <v>22KW</v>
      </c>
      <c r="S75" t="str">
        <f t="shared" si="4"/>
        <v>INCREMENTAL</v>
      </c>
      <c r="T75" t="str">
        <f t="shared" si="9"/>
        <v>RIGHT HINGE</v>
      </c>
      <c r="U75" t="str">
        <f t="shared" si="5"/>
        <v>MRLALL SUS-HL일반형220022KWINCREMENTALRIGHT HINGE</v>
      </c>
      <c r="V75" t="str">
        <f t="shared" si="6"/>
        <v>20410987G5900</v>
      </c>
      <c r="W75" t="str">
        <f t="shared" si="7"/>
        <v>WBSS-SE 일반형</v>
      </c>
      <c r="X75" t="s">
        <v>1966</v>
      </c>
      <c r="Y75" s="1" t="s">
        <v>1967</v>
      </c>
      <c r="Z75" t="s">
        <v>1952</v>
      </c>
      <c r="AA75" t="s">
        <v>2048</v>
      </c>
    </row>
    <row r="76" spans="1:27">
      <c r="A76" s="14">
        <f t="shared" ca="1" si="0"/>
        <v>65</v>
      </c>
      <c r="B76" s="24" t="s">
        <v>2003</v>
      </c>
      <c r="C76" s="24" t="s">
        <v>746</v>
      </c>
      <c r="D76" s="24" t="s">
        <v>2090</v>
      </c>
      <c r="E76" s="24" t="s">
        <v>2050</v>
      </c>
      <c r="F76" s="24" t="s">
        <v>1933</v>
      </c>
      <c r="G76" s="24" t="s">
        <v>1013</v>
      </c>
      <c r="H76" s="24" t="s">
        <v>1955</v>
      </c>
      <c r="I76" s="30" t="s">
        <v>2005</v>
      </c>
      <c r="J76" s="24">
        <v>2400</v>
      </c>
      <c r="K76" s="24" t="s">
        <v>1853</v>
      </c>
      <c r="L76" s="6" t="str">
        <f t="shared" si="1"/>
        <v>일반, 7.5KW, INCREMENTAL, ALL SUS, 2400, RIGHT HINGE</v>
      </c>
      <c r="N76" t="s">
        <v>99</v>
      </c>
      <c r="O76" t="s">
        <v>2006</v>
      </c>
      <c r="P76" t="s">
        <v>77</v>
      </c>
      <c r="Q76">
        <f t="shared" si="8"/>
        <v>2400</v>
      </c>
      <c r="R76" t="str">
        <f t="shared" si="3"/>
        <v>7.5KW</v>
      </c>
      <c r="S76" t="str">
        <f t="shared" si="4"/>
        <v>INCREMENTAL</v>
      </c>
      <c r="T76" t="str">
        <f t="shared" si="9"/>
        <v>RIGHT HINGE</v>
      </c>
      <c r="U76" t="str">
        <f t="shared" si="5"/>
        <v>MRLALL SUS-HL일반형24007.5KWINCREMENTALRIGHT HINGE</v>
      </c>
      <c r="V76" t="str">
        <f t="shared" si="6"/>
        <v>20410987G6100</v>
      </c>
      <c r="W76" t="str">
        <f t="shared" si="7"/>
        <v>WBSS-SE 일반형</v>
      </c>
      <c r="X76" t="s">
        <v>1956</v>
      </c>
      <c r="Y76" s="1" t="s">
        <v>1957</v>
      </c>
      <c r="Z76" t="s">
        <v>1937</v>
      </c>
      <c r="AA76" t="s">
        <v>2051</v>
      </c>
    </row>
    <row r="77" spans="1:27">
      <c r="A77" s="14">
        <f t="shared" ref="A77:A139" ca="1" si="10">OFFSET(A77,-1,)+1</f>
        <v>66</v>
      </c>
      <c r="B77" s="24" t="s">
        <v>2003</v>
      </c>
      <c r="C77" s="24" t="s">
        <v>746</v>
      </c>
      <c r="D77" s="24" t="s">
        <v>2091</v>
      </c>
      <c r="E77" s="24" t="s">
        <v>2050</v>
      </c>
      <c r="F77" s="24" t="s">
        <v>1933</v>
      </c>
      <c r="G77" s="24" t="s">
        <v>1016</v>
      </c>
      <c r="H77" s="24" t="s">
        <v>1955</v>
      </c>
      <c r="I77" s="30" t="s">
        <v>2005</v>
      </c>
      <c r="J77" s="24">
        <v>2400</v>
      </c>
      <c r="K77" s="24" t="s">
        <v>1853</v>
      </c>
      <c r="L77" s="6" t="str">
        <f t="shared" ref="L77:L140" si="11">F77&amp;", "&amp;G77&amp;", "&amp;H77&amp;", "&amp;I77&amp;", "&amp;J77&amp;", "&amp;K77</f>
        <v>일반, 11KW, INCREMENTAL, ALL SUS, 2400, RIGHT HINGE</v>
      </c>
      <c r="N77" t="s">
        <v>99</v>
      </c>
      <c r="O77" t="s">
        <v>2006</v>
      </c>
      <c r="P77" t="s">
        <v>77</v>
      </c>
      <c r="Q77">
        <f t="shared" ref="Q77:Q135" si="12">J77</f>
        <v>2400</v>
      </c>
      <c r="R77" t="str">
        <f t="shared" ref="R77:R140" si="13">G77</f>
        <v>11KW</v>
      </c>
      <c r="S77" t="str">
        <f t="shared" ref="S77:S140" si="14">H77</f>
        <v>INCREMENTAL</v>
      </c>
      <c r="T77" t="str">
        <f t="shared" ref="T77:T139" si="15">K77</f>
        <v>RIGHT HINGE</v>
      </c>
      <c r="U77" t="str">
        <f t="shared" ref="U77:U140" si="16">N77&amp;O77&amp;P77&amp;Q77&amp;R77&amp;S77&amp;T77</f>
        <v>MRLALL SUS-HL일반형240011KWINCREMENTALRIGHT HINGE</v>
      </c>
      <c r="V77" t="str">
        <f t="shared" ref="V77:V140" si="17">D77</f>
        <v>20410987G6200</v>
      </c>
      <c r="W77" t="str">
        <f t="shared" ref="W77:W140" si="18">B77</f>
        <v>WBSS-SE 일반형</v>
      </c>
      <c r="X77" t="s">
        <v>1959</v>
      </c>
      <c r="Y77" s="1" t="s">
        <v>1960</v>
      </c>
      <c r="Z77" t="s">
        <v>1942</v>
      </c>
      <c r="AA77" t="s">
        <v>2053</v>
      </c>
    </row>
    <row r="78" spans="1:27">
      <c r="A78" s="14">
        <f t="shared" ca="1" si="10"/>
        <v>67</v>
      </c>
      <c r="B78" s="24" t="s">
        <v>2003</v>
      </c>
      <c r="C78" s="24" t="s">
        <v>746</v>
      </c>
      <c r="D78" s="24" t="s">
        <v>2092</v>
      </c>
      <c r="E78" s="24" t="s">
        <v>2050</v>
      </c>
      <c r="F78" s="24" t="s">
        <v>1933</v>
      </c>
      <c r="G78" s="24" t="s">
        <v>1018</v>
      </c>
      <c r="H78" s="24" t="s">
        <v>1955</v>
      </c>
      <c r="I78" s="30" t="s">
        <v>2005</v>
      </c>
      <c r="J78" s="24">
        <v>2400</v>
      </c>
      <c r="K78" s="24" t="s">
        <v>1853</v>
      </c>
      <c r="L78" s="6" t="str">
        <f t="shared" si="11"/>
        <v>일반, 15KW, INCREMENTAL, ALL SUS, 2400, RIGHT HINGE</v>
      </c>
      <c r="N78" t="s">
        <v>99</v>
      </c>
      <c r="O78" t="s">
        <v>2006</v>
      </c>
      <c r="P78" t="s">
        <v>77</v>
      </c>
      <c r="Q78">
        <f t="shared" si="12"/>
        <v>2400</v>
      </c>
      <c r="R78" t="str">
        <f t="shared" si="13"/>
        <v>15KW</v>
      </c>
      <c r="S78" t="str">
        <f t="shared" si="14"/>
        <v>INCREMENTAL</v>
      </c>
      <c r="T78" t="str">
        <f t="shared" si="15"/>
        <v>RIGHT HINGE</v>
      </c>
      <c r="U78" t="str">
        <f t="shared" si="16"/>
        <v>MRLALL SUS-HL일반형240015KWINCREMENTALRIGHT HINGE</v>
      </c>
      <c r="V78" t="str">
        <f t="shared" si="17"/>
        <v>20410987G6300</v>
      </c>
      <c r="W78" t="str">
        <f t="shared" si="18"/>
        <v>WBSS-SE 일반형</v>
      </c>
      <c r="X78" t="s">
        <v>1963</v>
      </c>
      <c r="Y78" s="1" t="s">
        <v>1964</v>
      </c>
      <c r="Z78" t="s">
        <v>1947</v>
      </c>
      <c r="AA78" t="s">
        <v>2055</v>
      </c>
    </row>
    <row r="79" spans="1:27">
      <c r="A79" s="14">
        <f t="shared" ca="1" si="10"/>
        <v>68</v>
      </c>
      <c r="B79" s="24" t="s">
        <v>2003</v>
      </c>
      <c r="C79" s="24" t="s">
        <v>746</v>
      </c>
      <c r="D79" s="24" t="s">
        <v>2093</v>
      </c>
      <c r="E79" s="24" t="s">
        <v>2057</v>
      </c>
      <c r="F79" s="24" t="s">
        <v>1933</v>
      </c>
      <c r="G79" s="24" t="s">
        <v>1020</v>
      </c>
      <c r="H79" s="24" t="s">
        <v>1955</v>
      </c>
      <c r="I79" s="30" t="s">
        <v>2005</v>
      </c>
      <c r="J79" s="24">
        <v>2400</v>
      </c>
      <c r="K79" s="24" t="s">
        <v>1853</v>
      </c>
      <c r="L79" s="6" t="str">
        <f t="shared" si="11"/>
        <v>일반, 22KW, INCREMENTAL, ALL SUS, 2400, RIGHT HINGE</v>
      </c>
      <c r="N79" t="s">
        <v>99</v>
      </c>
      <c r="O79" t="s">
        <v>2006</v>
      </c>
      <c r="P79" t="s">
        <v>77</v>
      </c>
      <c r="Q79">
        <f t="shared" si="12"/>
        <v>2400</v>
      </c>
      <c r="R79" t="str">
        <f t="shared" si="13"/>
        <v>22KW</v>
      </c>
      <c r="S79" t="str">
        <f t="shared" si="14"/>
        <v>INCREMENTAL</v>
      </c>
      <c r="T79" t="str">
        <f t="shared" si="15"/>
        <v>RIGHT HINGE</v>
      </c>
      <c r="U79" t="str">
        <f t="shared" si="16"/>
        <v>MRLALL SUS-HL일반형240022KWINCREMENTALRIGHT HINGE</v>
      </c>
      <c r="V79" t="str">
        <f t="shared" si="17"/>
        <v>20410987G6400</v>
      </c>
      <c r="W79" t="str">
        <f t="shared" si="18"/>
        <v>WBSS-SE 일반형</v>
      </c>
      <c r="X79" t="s">
        <v>1966</v>
      </c>
      <c r="Y79" s="1" t="s">
        <v>1967</v>
      </c>
      <c r="Z79" t="s">
        <v>1952</v>
      </c>
      <c r="AA79" t="s">
        <v>2058</v>
      </c>
    </row>
    <row r="80" spans="1:27">
      <c r="A80" s="13">
        <f t="shared" ca="1" si="10"/>
        <v>69</v>
      </c>
      <c r="B80" s="1" t="s">
        <v>2003</v>
      </c>
      <c r="C80" s="1" t="s">
        <v>746</v>
      </c>
      <c r="D80" s="1" t="s">
        <v>2094</v>
      </c>
      <c r="E80" s="1" t="s">
        <v>2060</v>
      </c>
      <c r="F80" s="1" t="s">
        <v>1933</v>
      </c>
      <c r="G80" s="1" t="s">
        <v>1013</v>
      </c>
      <c r="H80" s="1" t="s">
        <v>1955</v>
      </c>
      <c r="I80" s="1"/>
      <c r="K80" s="1" t="s">
        <v>2061</v>
      </c>
      <c r="L80" s="6" t="str">
        <f t="shared" si="11"/>
        <v>일반, 7.5KW, INCREMENTAL, , , HOIST TYPE</v>
      </c>
      <c r="N80" t="s">
        <v>99</v>
      </c>
      <c r="P80" t="s">
        <v>77</v>
      </c>
      <c r="R80" t="str">
        <f t="shared" si="13"/>
        <v>7.5KW</v>
      </c>
      <c r="S80" t="str">
        <f t="shared" si="14"/>
        <v>INCREMENTAL</v>
      </c>
      <c r="T80" t="str">
        <f t="shared" si="15"/>
        <v>HOIST TYPE</v>
      </c>
      <c r="U80" t="str">
        <f t="shared" si="16"/>
        <v>MRL일반형7.5KWINCREMENTALHOIST TYPE</v>
      </c>
      <c r="V80" t="str">
        <f t="shared" si="17"/>
        <v>20410987G6600</v>
      </c>
      <c r="W80" t="str">
        <f t="shared" si="18"/>
        <v>WBSS-SE 일반형</v>
      </c>
      <c r="X80" t="s">
        <v>1956</v>
      </c>
      <c r="Y80" s="1" t="s">
        <v>1957</v>
      </c>
      <c r="Z80" t="s">
        <v>1937</v>
      </c>
      <c r="AA80" t="s">
        <v>2095</v>
      </c>
    </row>
    <row r="81" spans="1:27">
      <c r="A81" s="13">
        <f t="shared" ca="1" si="10"/>
        <v>70</v>
      </c>
      <c r="B81" s="1" t="s">
        <v>2003</v>
      </c>
      <c r="C81" s="1" t="s">
        <v>746</v>
      </c>
      <c r="D81" s="1" t="s">
        <v>2096</v>
      </c>
      <c r="E81" s="1" t="s">
        <v>2060</v>
      </c>
      <c r="F81" s="1" t="s">
        <v>1933</v>
      </c>
      <c r="G81" s="1" t="s">
        <v>1016</v>
      </c>
      <c r="H81" s="1" t="s">
        <v>1955</v>
      </c>
      <c r="I81" s="1"/>
      <c r="K81" s="1" t="s">
        <v>2061</v>
      </c>
      <c r="L81" s="6" t="str">
        <f t="shared" si="11"/>
        <v>일반, 11KW, INCREMENTAL, , , HOIST TYPE</v>
      </c>
      <c r="N81" t="s">
        <v>99</v>
      </c>
      <c r="P81" t="s">
        <v>77</v>
      </c>
      <c r="R81" t="str">
        <f t="shared" si="13"/>
        <v>11KW</v>
      </c>
      <c r="S81" t="str">
        <f t="shared" si="14"/>
        <v>INCREMENTAL</v>
      </c>
      <c r="T81" t="str">
        <f t="shared" si="15"/>
        <v>HOIST TYPE</v>
      </c>
      <c r="U81" t="str">
        <f t="shared" si="16"/>
        <v>MRL일반형11KWINCREMENTALHOIST TYPE</v>
      </c>
      <c r="V81" t="str">
        <f t="shared" si="17"/>
        <v>20410987G6700</v>
      </c>
      <c r="W81" t="str">
        <f t="shared" si="18"/>
        <v>WBSS-SE 일반형</v>
      </c>
      <c r="X81" t="s">
        <v>1959</v>
      </c>
      <c r="Y81" s="1" t="s">
        <v>1960</v>
      </c>
      <c r="Z81" t="s">
        <v>1942</v>
      </c>
      <c r="AA81" t="s">
        <v>2064</v>
      </c>
    </row>
    <row r="82" spans="1:27">
      <c r="A82" s="13">
        <f t="shared" ca="1" si="10"/>
        <v>71</v>
      </c>
      <c r="B82" s="1" t="s">
        <v>2003</v>
      </c>
      <c r="C82" s="1" t="s">
        <v>746</v>
      </c>
      <c r="D82" s="1" t="s">
        <v>2097</v>
      </c>
      <c r="E82" s="1" t="s">
        <v>2060</v>
      </c>
      <c r="F82" s="1" t="s">
        <v>1933</v>
      </c>
      <c r="G82" s="1" t="s">
        <v>1018</v>
      </c>
      <c r="H82" s="1" t="s">
        <v>1955</v>
      </c>
      <c r="I82" s="1"/>
      <c r="K82" s="1" t="s">
        <v>2061</v>
      </c>
      <c r="L82" s="6" t="str">
        <f t="shared" si="11"/>
        <v>일반, 15KW, INCREMENTAL, , , HOIST TYPE</v>
      </c>
      <c r="N82" t="s">
        <v>99</v>
      </c>
      <c r="P82" t="s">
        <v>77</v>
      </c>
      <c r="R82" t="str">
        <f t="shared" si="13"/>
        <v>15KW</v>
      </c>
      <c r="S82" t="str">
        <f t="shared" si="14"/>
        <v>INCREMENTAL</v>
      </c>
      <c r="T82" t="str">
        <f t="shared" si="15"/>
        <v>HOIST TYPE</v>
      </c>
      <c r="U82" t="str">
        <f t="shared" si="16"/>
        <v>MRL일반형15KWINCREMENTALHOIST TYPE</v>
      </c>
      <c r="V82" t="str">
        <f t="shared" si="17"/>
        <v>20410987G6800</v>
      </c>
      <c r="W82" t="str">
        <f t="shared" si="18"/>
        <v>WBSS-SE 일반형</v>
      </c>
      <c r="X82" t="s">
        <v>1963</v>
      </c>
      <c r="Y82" s="1" t="s">
        <v>1964</v>
      </c>
      <c r="Z82" t="s">
        <v>1947</v>
      </c>
      <c r="AA82" t="s">
        <v>2066</v>
      </c>
    </row>
    <row r="83" spans="1:27">
      <c r="A83" s="13">
        <f t="shared" ca="1" si="10"/>
        <v>72</v>
      </c>
      <c r="B83" s="1" t="s">
        <v>2003</v>
      </c>
      <c r="C83" s="1" t="s">
        <v>746</v>
      </c>
      <c r="D83" s="1" t="s">
        <v>2098</v>
      </c>
      <c r="E83" s="1" t="s">
        <v>2068</v>
      </c>
      <c r="F83" s="1" t="s">
        <v>1933</v>
      </c>
      <c r="G83" s="1" t="s">
        <v>1020</v>
      </c>
      <c r="H83" s="1" t="s">
        <v>1955</v>
      </c>
      <c r="I83" s="1"/>
      <c r="K83" s="1" t="s">
        <v>2061</v>
      </c>
      <c r="L83" s="6" t="str">
        <f t="shared" si="11"/>
        <v>일반, 22KW, INCREMENTAL, , , HOIST TYPE</v>
      </c>
      <c r="N83" t="s">
        <v>99</v>
      </c>
      <c r="P83" t="s">
        <v>77</v>
      </c>
      <c r="R83" t="str">
        <f t="shared" si="13"/>
        <v>22KW</v>
      </c>
      <c r="S83" t="str">
        <f t="shared" si="14"/>
        <v>INCREMENTAL</v>
      </c>
      <c r="T83" t="str">
        <f t="shared" si="15"/>
        <v>HOIST TYPE</v>
      </c>
      <c r="U83" t="str">
        <f t="shared" si="16"/>
        <v>MRL일반형22KWINCREMENTALHOIST TYPE</v>
      </c>
      <c r="V83" t="str">
        <f t="shared" si="17"/>
        <v>20410987G6900</v>
      </c>
      <c r="W83" t="str">
        <f t="shared" si="18"/>
        <v>WBSS-SE 일반형</v>
      </c>
      <c r="X83" t="s">
        <v>1966</v>
      </c>
      <c r="Y83" s="1" t="s">
        <v>1967</v>
      </c>
      <c r="Z83" t="s">
        <v>1952</v>
      </c>
      <c r="AA83" t="s">
        <v>2069</v>
      </c>
    </row>
    <row r="84" spans="1:27">
      <c r="A84" s="9">
        <f t="shared" ca="1" si="10"/>
        <v>73</v>
      </c>
      <c r="B84" s="10" t="s">
        <v>2099</v>
      </c>
      <c r="C84" s="10" t="s">
        <v>746</v>
      </c>
      <c r="D84" s="10" t="s">
        <v>2100</v>
      </c>
      <c r="E84" s="10" t="s">
        <v>2101</v>
      </c>
      <c r="F84" s="10" t="s">
        <v>1970</v>
      </c>
      <c r="G84" s="10" t="s">
        <v>1013</v>
      </c>
      <c r="H84" s="10" t="s">
        <v>1934</v>
      </c>
      <c r="I84" s="29" t="s">
        <v>2005</v>
      </c>
      <c r="J84" s="10">
        <v>2100</v>
      </c>
      <c r="K84" s="10" t="s">
        <v>1845</v>
      </c>
      <c r="L84" s="6" t="str">
        <f t="shared" si="11"/>
        <v>PWM, 7.5KW, SINCOS, ALL SUS, 2100, LEFT HINGE</v>
      </c>
      <c r="N84" t="s">
        <v>99</v>
      </c>
      <c r="O84" t="s">
        <v>2006</v>
      </c>
      <c r="P84" t="s">
        <v>1971</v>
      </c>
      <c r="Q84">
        <f t="shared" si="12"/>
        <v>2100</v>
      </c>
      <c r="R84" t="str">
        <f t="shared" si="13"/>
        <v>7.5KW</v>
      </c>
      <c r="S84" t="str">
        <f t="shared" si="14"/>
        <v>SINCOS</v>
      </c>
      <c r="T84" t="str">
        <f t="shared" si="15"/>
        <v>LEFT HINGE</v>
      </c>
      <c r="U84" t="str">
        <f t="shared" si="16"/>
        <v>MRLALL SUS-HL회생형21007.5KWSINCOSLEFT HINGE</v>
      </c>
      <c r="V84" t="str">
        <f t="shared" si="17"/>
        <v>20410991G0100</v>
      </c>
      <c r="W84" t="str">
        <f t="shared" si="18"/>
        <v>WBSS-SE PWM</v>
      </c>
      <c r="X84" t="s">
        <v>1972</v>
      </c>
      <c r="Y84" s="1" t="s">
        <v>1973</v>
      </c>
      <c r="Z84" t="s">
        <v>1974</v>
      </c>
      <c r="AA84" t="s">
        <v>2102</v>
      </c>
    </row>
    <row r="85" spans="1:27">
      <c r="A85" s="11">
        <f t="shared" ca="1" si="10"/>
        <v>74</v>
      </c>
      <c r="B85" s="24" t="s">
        <v>2099</v>
      </c>
      <c r="C85" s="24" t="s">
        <v>746</v>
      </c>
      <c r="D85" s="24" t="s">
        <v>2103</v>
      </c>
      <c r="E85" s="24" t="s">
        <v>2101</v>
      </c>
      <c r="F85" s="24" t="s">
        <v>1970</v>
      </c>
      <c r="G85" s="24" t="s">
        <v>1016</v>
      </c>
      <c r="H85" s="24" t="s">
        <v>1934</v>
      </c>
      <c r="I85" s="30" t="s">
        <v>2005</v>
      </c>
      <c r="J85" s="24">
        <v>2100</v>
      </c>
      <c r="K85" s="24" t="s">
        <v>1845</v>
      </c>
      <c r="L85" s="6" t="str">
        <f t="shared" si="11"/>
        <v>PWM, 11KW, SINCOS, ALL SUS, 2100, LEFT HINGE</v>
      </c>
      <c r="N85" t="s">
        <v>99</v>
      </c>
      <c r="O85" t="s">
        <v>2006</v>
      </c>
      <c r="P85" t="s">
        <v>1971</v>
      </c>
      <c r="Q85">
        <f t="shared" si="12"/>
        <v>2100</v>
      </c>
      <c r="R85" t="str">
        <f t="shared" si="13"/>
        <v>11KW</v>
      </c>
      <c r="S85" t="str">
        <f t="shared" si="14"/>
        <v>SINCOS</v>
      </c>
      <c r="T85" t="str">
        <f t="shared" si="15"/>
        <v>LEFT HINGE</v>
      </c>
      <c r="U85" t="str">
        <f t="shared" si="16"/>
        <v>MRLALL SUS-HL회생형210011KWSINCOSLEFT HINGE</v>
      </c>
      <c r="V85" t="str">
        <f t="shared" si="17"/>
        <v>20410991G0200</v>
      </c>
      <c r="W85" t="str">
        <f t="shared" si="18"/>
        <v>WBSS-SE PWM</v>
      </c>
      <c r="X85" t="s">
        <v>1977</v>
      </c>
      <c r="Y85" s="1" t="s">
        <v>1978</v>
      </c>
      <c r="Z85" t="s">
        <v>1979</v>
      </c>
      <c r="AA85" t="s">
        <v>2104</v>
      </c>
    </row>
    <row r="86" spans="1:27">
      <c r="A86" s="11">
        <f t="shared" ca="1" si="10"/>
        <v>75</v>
      </c>
      <c r="B86" s="24" t="s">
        <v>2099</v>
      </c>
      <c r="C86" s="24" t="s">
        <v>746</v>
      </c>
      <c r="D86" s="24" t="s">
        <v>2105</v>
      </c>
      <c r="E86" s="24" t="s">
        <v>2101</v>
      </c>
      <c r="F86" s="24" t="s">
        <v>1970</v>
      </c>
      <c r="G86" s="24" t="s">
        <v>1018</v>
      </c>
      <c r="H86" s="24" t="s">
        <v>1934</v>
      </c>
      <c r="I86" s="30" t="s">
        <v>2005</v>
      </c>
      <c r="J86" s="24">
        <v>2100</v>
      </c>
      <c r="K86" s="24" t="s">
        <v>1845</v>
      </c>
      <c r="L86" s="6" t="str">
        <f t="shared" si="11"/>
        <v>PWM, 15KW, SINCOS, ALL SUS, 2100, LEFT HINGE</v>
      </c>
      <c r="N86" t="s">
        <v>99</v>
      </c>
      <c r="O86" t="s">
        <v>2006</v>
      </c>
      <c r="P86" t="s">
        <v>1971</v>
      </c>
      <c r="Q86">
        <f t="shared" si="12"/>
        <v>2100</v>
      </c>
      <c r="R86" t="str">
        <f t="shared" si="13"/>
        <v>15KW</v>
      </c>
      <c r="S86" t="str">
        <f t="shared" si="14"/>
        <v>SINCOS</v>
      </c>
      <c r="T86" t="str">
        <f t="shared" si="15"/>
        <v>LEFT HINGE</v>
      </c>
      <c r="U86" t="str">
        <f t="shared" si="16"/>
        <v>MRLALL SUS-HL회생형210015KWSINCOSLEFT HINGE</v>
      </c>
      <c r="V86" t="str">
        <f t="shared" si="17"/>
        <v>20410991G0300</v>
      </c>
      <c r="W86" t="str">
        <f t="shared" si="18"/>
        <v>WBSS-SE PWM</v>
      </c>
      <c r="X86" t="s">
        <v>1982</v>
      </c>
      <c r="Y86" s="1" t="s">
        <v>1983</v>
      </c>
      <c r="Z86" t="s">
        <v>1984</v>
      </c>
      <c r="AA86" t="s">
        <v>2106</v>
      </c>
    </row>
    <row r="87" spans="1:27">
      <c r="A87" s="11">
        <f t="shared" ca="1" si="10"/>
        <v>76</v>
      </c>
      <c r="B87" s="24" t="s">
        <v>2099</v>
      </c>
      <c r="C87" s="24" t="s">
        <v>746</v>
      </c>
      <c r="D87" s="24" t="s">
        <v>2107</v>
      </c>
      <c r="E87" s="24" t="s">
        <v>2108</v>
      </c>
      <c r="F87" s="24" t="s">
        <v>1970</v>
      </c>
      <c r="G87" s="24" t="s">
        <v>1020</v>
      </c>
      <c r="H87" s="24" t="s">
        <v>1934</v>
      </c>
      <c r="I87" s="30" t="s">
        <v>2005</v>
      </c>
      <c r="J87" s="24">
        <v>2100</v>
      </c>
      <c r="K87" s="24" t="s">
        <v>1845</v>
      </c>
      <c r="L87" s="6" t="str">
        <f t="shared" si="11"/>
        <v>PWM, 22KW, SINCOS, ALL SUS, 2100, LEFT HINGE</v>
      </c>
      <c r="N87" t="s">
        <v>99</v>
      </c>
      <c r="O87" t="s">
        <v>2006</v>
      </c>
      <c r="P87" t="s">
        <v>1971</v>
      </c>
      <c r="Q87">
        <f t="shared" si="12"/>
        <v>2100</v>
      </c>
      <c r="R87" t="str">
        <f t="shared" si="13"/>
        <v>22KW</v>
      </c>
      <c r="S87" t="str">
        <f t="shared" si="14"/>
        <v>SINCOS</v>
      </c>
      <c r="T87" t="str">
        <f t="shared" si="15"/>
        <v>LEFT HINGE</v>
      </c>
      <c r="U87" t="str">
        <f t="shared" si="16"/>
        <v>MRLALL SUS-HL회생형210022KWSINCOSLEFT HINGE</v>
      </c>
      <c r="V87" t="str">
        <f t="shared" si="17"/>
        <v>20410991G0400</v>
      </c>
      <c r="W87" t="str">
        <f t="shared" si="18"/>
        <v>WBSS-SE PWM</v>
      </c>
      <c r="X87" t="s">
        <v>1987</v>
      </c>
      <c r="Y87" s="1" t="s">
        <v>1988</v>
      </c>
      <c r="Z87" t="s">
        <v>1989</v>
      </c>
      <c r="AA87" t="s">
        <v>2109</v>
      </c>
    </row>
    <row r="88" spans="1:27">
      <c r="A88" s="5">
        <f t="shared" ca="1" si="10"/>
        <v>77</v>
      </c>
      <c r="B88" s="1" t="s">
        <v>2099</v>
      </c>
      <c r="C88" s="1" t="s">
        <v>746</v>
      </c>
      <c r="D88" s="1" t="s">
        <v>2110</v>
      </c>
      <c r="E88" s="1" t="s">
        <v>2111</v>
      </c>
      <c r="F88" s="1" t="s">
        <v>1970</v>
      </c>
      <c r="G88" s="1" t="s">
        <v>1013</v>
      </c>
      <c r="H88" s="1" t="s">
        <v>1934</v>
      </c>
      <c r="I88" s="30" t="s">
        <v>2005</v>
      </c>
      <c r="J88" s="1">
        <v>2200</v>
      </c>
      <c r="K88" s="1" t="s">
        <v>1845</v>
      </c>
      <c r="L88" s="6" t="str">
        <f t="shared" si="11"/>
        <v>PWM, 7.5KW, SINCOS, ALL SUS, 2200, LEFT HINGE</v>
      </c>
      <c r="N88" t="s">
        <v>99</v>
      </c>
      <c r="O88" t="s">
        <v>2006</v>
      </c>
      <c r="P88" t="s">
        <v>1971</v>
      </c>
      <c r="Q88">
        <f t="shared" si="12"/>
        <v>2200</v>
      </c>
      <c r="R88" t="str">
        <f t="shared" si="13"/>
        <v>7.5KW</v>
      </c>
      <c r="S88" t="str">
        <f t="shared" si="14"/>
        <v>SINCOS</v>
      </c>
      <c r="T88" t="str">
        <f t="shared" si="15"/>
        <v>LEFT HINGE</v>
      </c>
      <c r="U88" t="str">
        <f t="shared" si="16"/>
        <v>MRLALL SUS-HL회생형22007.5KWSINCOSLEFT HINGE</v>
      </c>
      <c r="V88" t="str">
        <f t="shared" si="17"/>
        <v>20410991G0500</v>
      </c>
      <c r="W88" t="str">
        <f t="shared" si="18"/>
        <v>WBSS-SE PWM</v>
      </c>
      <c r="X88" s="1" t="s">
        <v>2112</v>
      </c>
      <c r="Y88" s="1" t="s">
        <v>1973</v>
      </c>
      <c r="Z88" t="s">
        <v>1974</v>
      </c>
      <c r="AA88" t="s">
        <v>2113</v>
      </c>
    </row>
    <row r="89" spans="1:27">
      <c r="A89" s="5">
        <f t="shared" ca="1" si="10"/>
        <v>78</v>
      </c>
      <c r="B89" s="1" t="s">
        <v>2099</v>
      </c>
      <c r="C89" s="1" t="s">
        <v>746</v>
      </c>
      <c r="D89" s="1" t="s">
        <v>2114</v>
      </c>
      <c r="E89" s="1" t="s">
        <v>2111</v>
      </c>
      <c r="F89" s="1" t="s">
        <v>1970</v>
      </c>
      <c r="G89" s="1" t="s">
        <v>1016</v>
      </c>
      <c r="H89" s="1" t="s">
        <v>1934</v>
      </c>
      <c r="I89" s="30" t="s">
        <v>2005</v>
      </c>
      <c r="J89" s="1">
        <v>2200</v>
      </c>
      <c r="K89" s="1" t="s">
        <v>1845</v>
      </c>
      <c r="L89" s="6" t="str">
        <f t="shared" si="11"/>
        <v>PWM, 11KW, SINCOS, ALL SUS, 2200, LEFT HINGE</v>
      </c>
      <c r="N89" t="s">
        <v>99</v>
      </c>
      <c r="O89" t="s">
        <v>2006</v>
      </c>
      <c r="P89" t="s">
        <v>1971</v>
      </c>
      <c r="Q89">
        <f t="shared" si="12"/>
        <v>2200</v>
      </c>
      <c r="R89" t="str">
        <f t="shared" si="13"/>
        <v>11KW</v>
      </c>
      <c r="S89" t="str">
        <f t="shared" si="14"/>
        <v>SINCOS</v>
      </c>
      <c r="T89" t="str">
        <f t="shared" si="15"/>
        <v>LEFT HINGE</v>
      </c>
      <c r="U89" t="str">
        <f t="shared" si="16"/>
        <v>MRLALL SUS-HL회생형220011KWSINCOSLEFT HINGE</v>
      </c>
      <c r="V89" t="str">
        <f t="shared" si="17"/>
        <v>20410991G0600</v>
      </c>
      <c r="W89" t="str">
        <f t="shared" si="18"/>
        <v>WBSS-SE PWM</v>
      </c>
      <c r="X89" s="1" t="s">
        <v>2115</v>
      </c>
      <c r="Y89" s="1" t="s">
        <v>1978</v>
      </c>
      <c r="Z89" t="s">
        <v>1979</v>
      </c>
      <c r="AA89" t="s">
        <v>2116</v>
      </c>
    </row>
    <row r="90" spans="1:27">
      <c r="A90" s="5">
        <f t="shared" ca="1" si="10"/>
        <v>79</v>
      </c>
      <c r="B90" s="1" t="s">
        <v>2099</v>
      </c>
      <c r="C90" s="1" t="s">
        <v>746</v>
      </c>
      <c r="D90" s="1" t="s">
        <v>2117</v>
      </c>
      <c r="E90" s="1" t="s">
        <v>2111</v>
      </c>
      <c r="F90" s="1" t="s">
        <v>1970</v>
      </c>
      <c r="G90" s="1" t="s">
        <v>1018</v>
      </c>
      <c r="H90" s="1" t="s">
        <v>1934</v>
      </c>
      <c r="I90" s="30" t="s">
        <v>2005</v>
      </c>
      <c r="J90" s="1">
        <v>2200</v>
      </c>
      <c r="K90" s="1" t="s">
        <v>1845</v>
      </c>
      <c r="L90" s="6" t="str">
        <f t="shared" si="11"/>
        <v>PWM, 15KW, SINCOS, ALL SUS, 2200, LEFT HINGE</v>
      </c>
      <c r="N90" t="s">
        <v>99</v>
      </c>
      <c r="O90" t="s">
        <v>2006</v>
      </c>
      <c r="P90" t="s">
        <v>1971</v>
      </c>
      <c r="Q90">
        <f t="shared" si="12"/>
        <v>2200</v>
      </c>
      <c r="R90" t="str">
        <f t="shared" si="13"/>
        <v>15KW</v>
      </c>
      <c r="S90" t="str">
        <f t="shared" si="14"/>
        <v>SINCOS</v>
      </c>
      <c r="T90" t="str">
        <f t="shared" si="15"/>
        <v>LEFT HINGE</v>
      </c>
      <c r="U90" t="str">
        <f t="shared" si="16"/>
        <v>MRLALL SUS-HL회생형220015KWSINCOSLEFT HINGE</v>
      </c>
      <c r="V90" t="str">
        <f t="shared" si="17"/>
        <v>20410991G0700</v>
      </c>
      <c r="W90" t="str">
        <f t="shared" si="18"/>
        <v>WBSS-SE PWM</v>
      </c>
      <c r="X90" s="1" t="s">
        <v>2118</v>
      </c>
      <c r="Y90" s="1" t="s">
        <v>1983</v>
      </c>
      <c r="Z90" t="s">
        <v>1984</v>
      </c>
      <c r="AA90" t="s">
        <v>2119</v>
      </c>
    </row>
    <row r="91" spans="1:27">
      <c r="A91" s="5">
        <f t="shared" ca="1" si="10"/>
        <v>80</v>
      </c>
      <c r="B91" s="1" t="s">
        <v>2099</v>
      </c>
      <c r="C91" s="1" t="s">
        <v>746</v>
      </c>
      <c r="D91" s="1" t="s">
        <v>2120</v>
      </c>
      <c r="E91" s="1" t="s">
        <v>2121</v>
      </c>
      <c r="F91" s="1" t="s">
        <v>1970</v>
      </c>
      <c r="G91" s="1" t="s">
        <v>1020</v>
      </c>
      <c r="H91" s="1" t="s">
        <v>1934</v>
      </c>
      <c r="I91" s="30" t="s">
        <v>2005</v>
      </c>
      <c r="J91" s="1">
        <v>2200</v>
      </c>
      <c r="K91" s="1" t="s">
        <v>1845</v>
      </c>
      <c r="L91" s="6" t="str">
        <f t="shared" si="11"/>
        <v>PWM, 22KW, SINCOS, ALL SUS, 2200, LEFT HINGE</v>
      </c>
      <c r="N91" t="s">
        <v>99</v>
      </c>
      <c r="O91" t="s">
        <v>2006</v>
      </c>
      <c r="P91" t="s">
        <v>1971</v>
      </c>
      <c r="Q91">
        <f t="shared" si="12"/>
        <v>2200</v>
      </c>
      <c r="R91" t="str">
        <f t="shared" si="13"/>
        <v>22KW</v>
      </c>
      <c r="S91" t="str">
        <f t="shared" si="14"/>
        <v>SINCOS</v>
      </c>
      <c r="T91" t="str">
        <f t="shared" si="15"/>
        <v>LEFT HINGE</v>
      </c>
      <c r="U91" t="str">
        <f t="shared" si="16"/>
        <v>MRLALL SUS-HL회생형220022KWSINCOSLEFT HINGE</v>
      </c>
      <c r="V91" t="str">
        <f t="shared" si="17"/>
        <v>20410991G0800</v>
      </c>
      <c r="W91" t="str">
        <f t="shared" si="18"/>
        <v>WBSS-SE PWM</v>
      </c>
      <c r="X91" s="1" t="s">
        <v>2122</v>
      </c>
      <c r="Y91" s="1" t="s">
        <v>1988</v>
      </c>
      <c r="Z91" t="s">
        <v>1989</v>
      </c>
      <c r="AA91" t="s">
        <v>2123</v>
      </c>
    </row>
    <row r="92" spans="1:27">
      <c r="A92" s="11">
        <f t="shared" ca="1" si="10"/>
        <v>81</v>
      </c>
      <c r="B92" s="24" t="s">
        <v>2099</v>
      </c>
      <c r="C92" s="24" t="s">
        <v>746</v>
      </c>
      <c r="D92" s="24" t="s">
        <v>2124</v>
      </c>
      <c r="E92" s="24" t="s">
        <v>2125</v>
      </c>
      <c r="F92" s="24" t="s">
        <v>1970</v>
      </c>
      <c r="G92" s="24" t="s">
        <v>1013</v>
      </c>
      <c r="H92" s="24" t="s">
        <v>1934</v>
      </c>
      <c r="I92" s="30" t="s">
        <v>2005</v>
      </c>
      <c r="J92" s="24">
        <v>2400</v>
      </c>
      <c r="K92" s="24" t="s">
        <v>1845</v>
      </c>
      <c r="L92" s="6" t="str">
        <f t="shared" si="11"/>
        <v>PWM, 7.5KW, SINCOS, ALL SUS, 2400, LEFT HINGE</v>
      </c>
      <c r="N92" t="s">
        <v>99</v>
      </c>
      <c r="O92" t="s">
        <v>2006</v>
      </c>
      <c r="P92" t="s">
        <v>1971</v>
      </c>
      <c r="Q92">
        <f t="shared" si="12"/>
        <v>2400</v>
      </c>
      <c r="R92" t="str">
        <f t="shared" si="13"/>
        <v>7.5KW</v>
      </c>
      <c r="S92" t="str">
        <f t="shared" si="14"/>
        <v>SINCOS</v>
      </c>
      <c r="T92" t="str">
        <f t="shared" si="15"/>
        <v>LEFT HINGE</v>
      </c>
      <c r="U92" t="str">
        <f t="shared" si="16"/>
        <v>MRLALL SUS-HL회생형24007.5KWSINCOSLEFT HINGE</v>
      </c>
      <c r="V92" t="str">
        <f t="shared" si="17"/>
        <v>20410991G0900</v>
      </c>
      <c r="W92" t="str">
        <f t="shared" si="18"/>
        <v>WBSS-SE PWM</v>
      </c>
      <c r="X92" s="1" t="s">
        <v>2112</v>
      </c>
      <c r="Y92" s="1" t="s">
        <v>1973</v>
      </c>
      <c r="Z92" t="s">
        <v>1974</v>
      </c>
      <c r="AA92" t="s">
        <v>2126</v>
      </c>
    </row>
    <row r="93" spans="1:27">
      <c r="A93" s="11">
        <f t="shared" ca="1" si="10"/>
        <v>82</v>
      </c>
      <c r="B93" s="24" t="s">
        <v>2099</v>
      </c>
      <c r="C93" s="24" t="s">
        <v>746</v>
      </c>
      <c r="D93" s="24" t="s">
        <v>2127</v>
      </c>
      <c r="E93" s="24" t="s">
        <v>2125</v>
      </c>
      <c r="F93" s="24" t="s">
        <v>1970</v>
      </c>
      <c r="G93" s="24" t="s">
        <v>1016</v>
      </c>
      <c r="H93" s="24" t="s">
        <v>1934</v>
      </c>
      <c r="I93" s="30" t="s">
        <v>2005</v>
      </c>
      <c r="J93" s="24">
        <v>2400</v>
      </c>
      <c r="K93" s="24" t="s">
        <v>1845</v>
      </c>
      <c r="L93" s="6" t="str">
        <f t="shared" si="11"/>
        <v>PWM, 11KW, SINCOS, ALL SUS, 2400, LEFT HINGE</v>
      </c>
      <c r="N93" t="s">
        <v>99</v>
      </c>
      <c r="O93" t="s">
        <v>2006</v>
      </c>
      <c r="P93" t="s">
        <v>1971</v>
      </c>
      <c r="Q93">
        <f t="shared" si="12"/>
        <v>2400</v>
      </c>
      <c r="R93" t="str">
        <f t="shared" si="13"/>
        <v>11KW</v>
      </c>
      <c r="S93" t="str">
        <f t="shared" si="14"/>
        <v>SINCOS</v>
      </c>
      <c r="T93" t="str">
        <f t="shared" si="15"/>
        <v>LEFT HINGE</v>
      </c>
      <c r="U93" t="str">
        <f t="shared" si="16"/>
        <v>MRLALL SUS-HL회생형240011KWSINCOSLEFT HINGE</v>
      </c>
      <c r="V93" t="str">
        <f t="shared" si="17"/>
        <v>20410991G1000</v>
      </c>
      <c r="W93" t="str">
        <f t="shared" si="18"/>
        <v>WBSS-SE PWM</v>
      </c>
      <c r="X93" s="1" t="s">
        <v>2115</v>
      </c>
      <c r="Y93" s="1" t="s">
        <v>1978</v>
      </c>
      <c r="Z93" t="s">
        <v>1979</v>
      </c>
      <c r="AA93" t="s">
        <v>2128</v>
      </c>
    </row>
    <row r="94" spans="1:27">
      <c r="A94" s="11">
        <f t="shared" ca="1" si="10"/>
        <v>83</v>
      </c>
      <c r="B94" s="24" t="s">
        <v>2099</v>
      </c>
      <c r="C94" s="24" t="s">
        <v>746</v>
      </c>
      <c r="D94" s="24" t="s">
        <v>2129</v>
      </c>
      <c r="E94" s="24" t="s">
        <v>2125</v>
      </c>
      <c r="F94" s="24" t="s">
        <v>1970</v>
      </c>
      <c r="G94" s="24" t="s">
        <v>1018</v>
      </c>
      <c r="H94" s="24" t="s">
        <v>1934</v>
      </c>
      <c r="I94" s="30" t="s">
        <v>2005</v>
      </c>
      <c r="J94" s="24">
        <v>2400</v>
      </c>
      <c r="K94" s="24" t="s">
        <v>1845</v>
      </c>
      <c r="L94" s="6" t="str">
        <f t="shared" si="11"/>
        <v>PWM, 15KW, SINCOS, ALL SUS, 2400, LEFT HINGE</v>
      </c>
      <c r="N94" t="s">
        <v>99</v>
      </c>
      <c r="O94" t="s">
        <v>2006</v>
      </c>
      <c r="P94" t="s">
        <v>1971</v>
      </c>
      <c r="Q94">
        <f t="shared" si="12"/>
        <v>2400</v>
      </c>
      <c r="R94" t="str">
        <f t="shared" si="13"/>
        <v>15KW</v>
      </c>
      <c r="S94" t="str">
        <f t="shared" si="14"/>
        <v>SINCOS</v>
      </c>
      <c r="T94" t="str">
        <f t="shared" si="15"/>
        <v>LEFT HINGE</v>
      </c>
      <c r="U94" t="str">
        <f t="shared" si="16"/>
        <v>MRLALL SUS-HL회생형240015KWSINCOSLEFT HINGE</v>
      </c>
      <c r="V94" t="str">
        <f t="shared" si="17"/>
        <v>20410991G1100</v>
      </c>
      <c r="W94" t="str">
        <f t="shared" si="18"/>
        <v>WBSS-SE PWM</v>
      </c>
      <c r="X94" s="1" t="s">
        <v>2118</v>
      </c>
      <c r="Y94" s="1" t="s">
        <v>1983</v>
      </c>
      <c r="Z94" t="s">
        <v>1984</v>
      </c>
      <c r="AA94" t="s">
        <v>2130</v>
      </c>
    </row>
    <row r="95" spans="1:27">
      <c r="A95" s="11">
        <f t="shared" ca="1" si="10"/>
        <v>84</v>
      </c>
      <c r="B95" s="24" t="s">
        <v>2099</v>
      </c>
      <c r="C95" s="24" t="s">
        <v>746</v>
      </c>
      <c r="D95" s="24" t="s">
        <v>2131</v>
      </c>
      <c r="E95" s="24" t="s">
        <v>2132</v>
      </c>
      <c r="F95" s="24" t="s">
        <v>1970</v>
      </c>
      <c r="G95" s="24" t="s">
        <v>1020</v>
      </c>
      <c r="H95" s="24" t="s">
        <v>1934</v>
      </c>
      <c r="I95" s="30" t="s">
        <v>2005</v>
      </c>
      <c r="J95" s="24">
        <v>2400</v>
      </c>
      <c r="K95" s="24" t="s">
        <v>1845</v>
      </c>
      <c r="L95" s="6" t="str">
        <f t="shared" si="11"/>
        <v>PWM, 22KW, SINCOS, ALL SUS, 2400, LEFT HINGE</v>
      </c>
      <c r="N95" t="s">
        <v>99</v>
      </c>
      <c r="O95" t="s">
        <v>2006</v>
      </c>
      <c r="P95" t="s">
        <v>1971</v>
      </c>
      <c r="Q95">
        <f t="shared" si="12"/>
        <v>2400</v>
      </c>
      <c r="R95" t="str">
        <f t="shared" si="13"/>
        <v>22KW</v>
      </c>
      <c r="S95" t="str">
        <f t="shared" si="14"/>
        <v>SINCOS</v>
      </c>
      <c r="T95" t="str">
        <f t="shared" si="15"/>
        <v>LEFT HINGE</v>
      </c>
      <c r="U95" t="str">
        <f t="shared" si="16"/>
        <v>MRLALL SUS-HL회생형240022KWSINCOSLEFT HINGE</v>
      </c>
      <c r="V95" t="str">
        <f t="shared" si="17"/>
        <v>20410991G1200</v>
      </c>
      <c r="W95" t="str">
        <f t="shared" si="18"/>
        <v>WBSS-SE PWM</v>
      </c>
      <c r="X95" s="1" t="s">
        <v>2122</v>
      </c>
      <c r="Y95" s="1" t="s">
        <v>1988</v>
      </c>
      <c r="Z95" t="s">
        <v>1989</v>
      </c>
      <c r="AA95" t="s">
        <v>2133</v>
      </c>
    </row>
    <row r="96" spans="1:27">
      <c r="A96" s="5">
        <f t="shared" ca="1" si="10"/>
        <v>85</v>
      </c>
      <c r="B96" s="1" t="s">
        <v>2099</v>
      </c>
      <c r="C96" s="1" t="s">
        <v>746</v>
      </c>
      <c r="D96" s="1" t="s">
        <v>2134</v>
      </c>
      <c r="E96" s="1" t="s">
        <v>2135</v>
      </c>
      <c r="F96" s="1" t="s">
        <v>1970</v>
      </c>
      <c r="G96" s="1" t="s">
        <v>1013</v>
      </c>
      <c r="H96" s="1" t="s">
        <v>1934</v>
      </c>
      <c r="I96" s="30" t="s">
        <v>2005</v>
      </c>
      <c r="J96" s="1">
        <v>2100</v>
      </c>
      <c r="K96" s="1" t="s">
        <v>1853</v>
      </c>
      <c r="L96" s="6" t="str">
        <f t="shared" si="11"/>
        <v>PWM, 7.5KW, SINCOS, ALL SUS, 2100, RIGHT HINGE</v>
      </c>
      <c r="N96" t="s">
        <v>99</v>
      </c>
      <c r="O96" t="s">
        <v>2006</v>
      </c>
      <c r="P96" t="s">
        <v>1971</v>
      </c>
      <c r="Q96">
        <f t="shared" si="12"/>
        <v>2100</v>
      </c>
      <c r="R96" t="str">
        <f t="shared" si="13"/>
        <v>7.5KW</v>
      </c>
      <c r="S96" t="str">
        <f t="shared" si="14"/>
        <v>SINCOS</v>
      </c>
      <c r="T96" t="str">
        <f t="shared" si="15"/>
        <v>RIGHT HINGE</v>
      </c>
      <c r="U96" t="str">
        <f t="shared" si="16"/>
        <v>MRLALL SUS-HL회생형21007.5KWSINCOSRIGHT HINGE</v>
      </c>
      <c r="V96" t="str">
        <f t="shared" si="17"/>
        <v>20410991G1300</v>
      </c>
      <c r="W96" t="str">
        <f t="shared" si="18"/>
        <v>WBSS-SE PWM</v>
      </c>
      <c r="X96" s="1" t="s">
        <v>2112</v>
      </c>
      <c r="Y96" s="1" t="s">
        <v>1973</v>
      </c>
      <c r="Z96" t="s">
        <v>1974</v>
      </c>
      <c r="AA96" t="s">
        <v>2136</v>
      </c>
    </row>
    <row r="97" spans="1:27">
      <c r="A97" s="5">
        <f t="shared" ca="1" si="10"/>
        <v>86</v>
      </c>
      <c r="B97" s="1" t="s">
        <v>2099</v>
      </c>
      <c r="C97" s="1" t="s">
        <v>746</v>
      </c>
      <c r="D97" s="1" t="s">
        <v>2137</v>
      </c>
      <c r="E97" s="1" t="s">
        <v>2135</v>
      </c>
      <c r="F97" s="1" t="s">
        <v>1970</v>
      </c>
      <c r="G97" s="1" t="s">
        <v>1016</v>
      </c>
      <c r="H97" s="1" t="s">
        <v>1934</v>
      </c>
      <c r="I97" s="30" t="s">
        <v>2005</v>
      </c>
      <c r="J97" s="1">
        <v>2100</v>
      </c>
      <c r="K97" s="1" t="s">
        <v>1853</v>
      </c>
      <c r="L97" s="6" t="str">
        <f t="shared" si="11"/>
        <v>PWM, 11KW, SINCOS, ALL SUS, 2100, RIGHT HINGE</v>
      </c>
      <c r="N97" t="s">
        <v>99</v>
      </c>
      <c r="O97" t="s">
        <v>2006</v>
      </c>
      <c r="P97" t="s">
        <v>1971</v>
      </c>
      <c r="Q97">
        <f t="shared" si="12"/>
        <v>2100</v>
      </c>
      <c r="R97" t="str">
        <f t="shared" si="13"/>
        <v>11KW</v>
      </c>
      <c r="S97" t="str">
        <f t="shared" si="14"/>
        <v>SINCOS</v>
      </c>
      <c r="T97" t="str">
        <f t="shared" si="15"/>
        <v>RIGHT HINGE</v>
      </c>
      <c r="U97" t="str">
        <f t="shared" si="16"/>
        <v>MRLALL SUS-HL회생형210011KWSINCOSRIGHT HINGE</v>
      </c>
      <c r="V97" t="str">
        <f t="shared" si="17"/>
        <v>20410991G1400</v>
      </c>
      <c r="W97" t="str">
        <f t="shared" si="18"/>
        <v>WBSS-SE PWM</v>
      </c>
      <c r="X97" s="1" t="s">
        <v>2115</v>
      </c>
      <c r="Y97" s="1" t="s">
        <v>1978</v>
      </c>
      <c r="Z97" t="s">
        <v>1979</v>
      </c>
      <c r="AA97" t="s">
        <v>2138</v>
      </c>
    </row>
    <row r="98" spans="1:27">
      <c r="A98" s="5">
        <f t="shared" ca="1" si="10"/>
        <v>87</v>
      </c>
      <c r="B98" s="1" t="s">
        <v>2099</v>
      </c>
      <c r="C98" s="1" t="s">
        <v>746</v>
      </c>
      <c r="D98" s="1" t="s">
        <v>2139</v>
      </c>
      <c r="E98" s="1" t="s">
        <v>2135</v>
      </c>
      <c r="F98" s="1" t="s">
        <v>1970</v>
      </c>
      <c r="G98" s="1" t="s">
        <v>1018</v>
      </c>
      <c r="H98" s="1" t="s">
        <v>1934</v>
      </c>
      <c r="I98" s="30" t="s">
        <v>2005</v>
      </c>
      <c r="J98" s="1">
        <v>2100</v>
      </c>
      <c r="K98" s="1" t="s">
        <v>1853</v>
      </c>
      <c r="L98" s="6" t="str">
        <f t="shared" si="11"/>
        <v>PWM, 15KW, SINCOS, ALL SUS, 2100, RIGHT HINGE</v>
      </c>
      <c r="N98" t="s">
        <v>99</v>
      </c>
      <c r="O98" t="s">
        <v>2006</v>
      </c>
      <c r="P98" t="s">
        <v>1971</v>
      </c>
      <c r="Q98">
        <f t="shared" si="12"/>
        <v>2100</v>
      </c>
      <c r="R98" t="str">
        <f t="shared" si="13"/>
        <v>15KW</v>
      </c>
      <c r="S98" t="str">
        <f t="shared" si="14"/>
        <v>SINCOS</v>
      </c>
      <c r="T98" t="str">
        <f t="shared" si="15"/>
        <v>RIGHT HINGE</v>
      </c>
      <c r="U98" t="str">
        <f t="shared" si="16"/>
        <v>MRLALL SUS-HL회생형210015KWSINCOSRIGHT HINGE</v>
      </c>
      <c r="V98" t="str">
        <f t="shared" si="17"/>
        <v>20410991G1500</v>
      </c>
      <c r="W98" t="str">
        <f t="shared" si="18"/>
        <v>WBSS-SE PWM</v>
      </c>
      <c r="X98" s="1" t="s">
        <v>2118</v>
      </c>
      <c r="Y98" s="1" t="s">
        <v>1983</v>
      </c>
      <c r="Z98" t="s">
        <v>1984</v>
      </c>
      <c r="AA98" t="s">
        <v>2140</v>
      </c>
    </row>
    <row r="99" spans="1:27">
      <c r="A99" s="5">
        <f t="shared" ca="1" si="10"/>
        <v>88</v>
      </c>
      <c r="B99" s="1" t="s">
        <v>2099</v>
      </c>
      <c r="C99" s="1" t="s">
        <v>746</v>
      </c>
      <c r="D99" s="1" t="s">
        <v>2141</v>
      </c>
      <c r="E99" s="1" t="s">
        <v>2142</v>
      </c>
      <c r="F99" s="1" t="s">
        <v>1970</v>
      </c>
      <c r="G99" s="1" t="s">
        <v>1020</v>
      </c>
      <c r="H99" s="1" t="s">
        <v>1934</v>
      </c>
      <c r="I99" s="30" t="s">
        <v>2005</v>
      </c>
      <c r="J99" s="1">
        <v>2100</v>
      </c>
      <c r="K99" s="1" t="s">
        <v>1853</v>
      </c>
      <c r="L99" s="6" t="str">
        <f t="shared" si="11"/>
        <v>PWM, 22KW, SINCOS, ALL SUS, 2100, RIGHT HINGE</v>
      </c>
      <c r="N99" t="s">
        <v>99</v>
      </c>
      <c r="O99" t="s">
        <v>2006</v>
      </c>
      <c r="P99" t="s">
        <v>1971</v>
      </c>
      <c r="Q99">
        <f t="shared" si="12"/>
        <v>2100</v>
      </c>
      <c r="R99" t="str">
        <f t="shared" si="13"/>
        <v>22KW</v>
      </c>
      <c r="S99" t="str">
        <f t="shared" si="14"/>
        <v>SINCOS</v>
      </c>
      <c r="T99" t="str">
        <f t="shared" si="15"/>
        <v>RIGHT HINGE</v>
      </c>
      <c r="U99" t="str">
        <f t="shared" si="16"/>
        <v>MRLALL SUS-HL회생형210022KWSINCOSRIGHT HINGE</v>
      </c>
      <c r="V99" t="str">
        <f t="shared" si="17"/>
        <v>20410991G1600</v>
      </c>
      <c r="W99" t="str">
        <f t="shared" si="18"/>
        <v>WBSS-SE PWM</v>
      </c>
      <c r="X99" s="1" t="s">
        <v>2122</v>
      </c>
      <c r="Y99" s="1" t="s">
        <v>1988</v>
      </c>
      <c r="Z99" t="s">
        <v>1989</v>
      </c>
      <c r="AA99" t="s">
        <v>2143</v>
      </c>
    </row>
    <row r="100" spans="1:27">
      <c r="A100" s="11">
        <f t="shared" ca="1" si="10"/>
        <v>89</v>
      </c>
      <c r="B100" s="24" t="s">
        <v>2099</v>
      </c>
      <c r="C100" s="24" t="s">
        <v>746</v>
      </c>
      <c r="D100" s="24" t="s">
        <v>2144</v>
      </c>
      <c r="E100" s="24" t="s">
        <v>2145</v>
      </c>
      <c r="F100" s="24" t="s">
        <v>1970</v>
      </c>
      <c r="G100" s="24" t="s">
        <v>1013</v>
      </c>
      <c r="H100" s="24" t="s">
        <v>1934</v>
      </c>
      <c r="I100" s="30" t="s">
        <v>2005</v>
      </c>
      <c r="J100" s="24">
        <v>2200</v>
      </c>
      <c r="K100" s="24" t="s">
        <v>1853</v>
      </c>
      <c r="L100" s="6" t="str">
        <f t="shared" si="11"/>
        <v>PWM, 7.5KW, SINCOS, ALL SUS, 2200, RIGHT HINGE</v>
      </c>
      <c r="N100" t="s">
        <v>99</v>
      </c>
      <c r="O100" t="s">
        <v>2006</v>
      </c>
      <c r="P100" t="s">
        <v>1971</v>
      </c>
      <c r="Q100">
        <f t="shared" si="12"/>
        <v>2200</v>
      </c>
      <c r="R100" t="str">
        <f t="shared" si="13"/>
        <v>7.5KW</v>
      </c>
      <c r="S100" t="str">
        <f t="shared" si="14"/>
        <v>SINCOS</v>
      </c>
      <c r="T100" t="str">
        <f t="shared" si="15"/>
        <v>RIGHT HINGE</v>
      </c>
      <c r="U100" t="str">
        <f t="shared" si="16"/>
        <v>MRLALL SUS-HL회생형22007.5KWSINCOSRIGHT HINGE</v>
      </c>
      <c r="V100" t="str">
        <f t="shared" si="17"/>
        <v>20410991G1700</v>
      </c>
      <c r="W100" t="str">
        <f t="shared" si="18"/>
        <v>WBSS-SE PWM</v>
      </c>
      <c r="X100" s="1" t="s">
        <v>2112</v>
      </c>
      <c r="Y100" s="1" t="s">
        <v>1973</v>
      </c>
      <c r="Z100" t="s">
        <v>1974</v>
      </c>
      <c r="AA100" t="s">
        <v>2146</v>
      </c>
    </row>
    <row r="101" spans="1:27">
      <c r="A101" s="11">
        <f t="shared" ca="1" si="10"/>
        <v>90</v>
      </c>
      <c r="B101" s="24" t="s">
        <v>2099</v>
      </c>
      <c r="C101" s="24" t="s">
        <v>746</v>
      </c>
      <c r="D101" s="24" t="s">
        <v>2147</v>
      </c>
      <c r="E101" s="24" t="s">
        <v>2145</v>
      </c>
      <c r="F101" s="24" t="s">
        <v>1970</v>
      </c>
      <c r="G101" s="24" t="s">
        <v>1016</v>
      </c>
      <c r="H101" s="24" t="s">
        <v>1934</v>
      </c>
      <c r="I101" s="30" t="s">
        <v>2005</v>
      </c>
      <c r="J101" s="24">
        <v>2200</v>
      </c>
      <c r="K101" s="24" t="s">
        <v>1853</v>
      </c>
      <c r="L101" s="6" t="str">
        <f t="shared" si="11"/>
        <v>PWM, 11KW, SINCOS, ALL SUS, 2200, RIGHT HINGE</v>
      </c>
      <c r="N101" t="s">
        <v>99</v>
      </c>
      <c r="O101" t="s">
        <v>2006</v>
      </c>
      <c r="P101" t="s">
        <v>1971</v>
      </c>
      <c r="Q101">
        <f t="shared" si="12"/>
        <v>2200</v>
      </c>
      <c r="R101" t="str">
        <f t="shared" si="13"/>
        <v>11KW</v>
      </c>
      <c r="S101" t="str">
        <f t="shared" si="14"/>
        <v>SINCOS</v>
      </c>
      <c r="T101" t="str">
        <f t="shared" si="15"/>
        <v>RIGHT HINGE</v>
      </c>
      <c r="U101" t="str">
        <f t="shared" si="16"/>
        <v>MRLALL SUS-HL회생형220011KWSINCOSRIGHT HINGE</v>
      </c>
      <c r="V101" t="str">
        <f t="shared" si="17"/>
        <v>20410991G1800</v>
      </c>
      <c r="W101" t="str">
        <f t="shared" si="18"/>
        <v>WBSS-SE PWM</v>
      </c>
      <c r="X101" s="1" t="s">
        <v>2115</v>
      </c>
      <c r="Y101" s="1" t="s">
        <v>1978</v>
      </c>
      <c r="Z101" t="s">
        <v>1979</v>
      </c>
      <c r="AA101" t="s">
        <v>2148</v>
      </c>
    </row>
    <row r="102" spans="1:27">
      <c r="A102" s="11">
        <f t="shared" ca="1" si="10"/>
        <v>91</v>
      </c>
      <c r="B102" s="24" t="s">
        <v>2099</v>
      </c>
      <c r="C102" s="24" t="s">
        <v>746</v>
      </c>
      <c r="D102" s="24" t="s">
        <v>2149</v>
      </c>
      <c r="E102" s="24" t="s">
        <v>2145</v>
      </c>
      <c r="F102" s="24" t="s">
        <v>1970</v>
      </c>
      <c r="G102" s="24" t="s">
        <v>1018</v>
      </c>
      <c r="H102" s="24" t="s">
        <v>1934</v>
      </c>
      <c r="I102" s="30" t="s">
        <v>2005</v>
      </c>
      <c r="J102" s="24">
        <v>2200</v>
      </c>
      <c r="K102" s="24" t="s">
        <v>1853</v>
      </c>
      <c r="L102" s="6" t="str">
        <f t="shared" si="11"/>
        <v>PWM, 15KW, SINCOS, ALL SUS, 2200, RIGHT HINGE</v>
      </c>
      <c r="N102" t="s">
        <v>99</v>
      </c>
      <c r="O102" t="s">
        <v>2006</v>
      </c>
      <c r="P102" t="s">
        <v>1971</v>
      </c>
      <c r="Q102">
        <f t="shared" si="12"/>
        <v>2200</v>
      </c>
      <c r="R102" t="str">
        <f t="shared" si="13"/>
        <v>15KW</v>
      </c>
      <c r="S102" t="str">
        <f t="shared" si="14"/>
        <v>SINCOS</v>
      </c>
      <c r="T102" t="str">
        <f t="shared" si="15"/>
        <v>RIGHT HINGE</v>
      </c>
      <c r="U102" t="str">
        <f t="shared" si="16"/>
        <v>MRLALL SUS-HL회생형220015KWSINCOSRIGHT HINGE</v>
      </c>
      <c r="V102" t="str">
        <f t="shared" si="17"/>
        <v>20410991G1900</v>
      </c>
      <c r="W102" t="str">
        <f t="shared" si="18"/>
        <v>WBSS-SE PWM</v>
      </c>
      <c r="X102" s="1" t="s">
        <v>2118</v>
      </c>
      <c r="Y102" s="1" t="s">
        <v>1983</v>
      </c>
      <c r="Z102" t="s">
        <v>1984</v>
      </c>
      <c r="AA102" t="s">
        <v>2150</v>
      </c>
    </row>
    <row r="103" spans="1:27">
      <c r="A103" s="11">
        <f t="shared" ca="1" si="10"/>
        <v>92</v>
      </c>
      <c r="B103" s="24" t="s">
        <v>2099</v>
      </c>
      <c r="C103" s="24" t="s">
        <v>746</v>
      </c>
      <c r="D103" s="24" t="s">
        <v>2151</v>
      </c>
      <c r="E103" s="24" t="s">
        <v>2152</v>
      </c>
      <c r="F103" s="24" t="s">
        <v>1970</v>
      </c>
      <c r="G103" s="24" t="s">
        <v>1020</v>
      </c>
      <c r="H103" s="24" t="s">
        <v>1934</v>
      </c>
      <c r="I103" s="30" t="s">
        <v>2005</v>
      </c>
      <c r="J103" s="24">
        <v>2200</v>
      </c>
      <c r="K103" s="24" t="s">
        <v>1853</v>
      </c>
      <c r="L103" s="6" t="str">
        <f t="shared" si="11"/>
        <v>PWM, 22KW, SINCOS, ALL SUS, 2200, RIGHT HINGE</v>
      </c>
      <c r="N103" t="s">
        <v>99</v>
      </c>
      <c r="O103" t="s">
        <v>2006</v>
      </c>
      <c r="P103" t="s">
        <v>1971</v>
      </c>
      <c r="Q103">
        <f t="shared" si="12"/>
        <v>2200</v>
      </c>
      <c r="R103" t="str">
        <f t="shared" si="13"/>
        <v>22KW</v>
      </c>
      <c r="S103" t="str">
        <f t="shared" si="14"/>
        <v>SINCOS</v>
      </c>
      <c r="T103" t="str">
        <f t="shared" si="15"/>
        <v>RIGHT HINGE</v>
      </c>
      <c r="U103" t="str">
        <f t="shared" si="16"/>
        <v>MRLALL SUS-HL회생형220022KWSINCOSRIGHT HINGE</v>
      </c>
      <c r="V103" t="str">
        <f t="shared" si="17"/>
        <v>20410991G2000</v>
      </c>
      <c r="W103" t="str">
        <f t="shared" si="18"/>
        <v>WBSS-SE PWM</v>
      </c>
      <c r="X103" s="1" t="s">
        <v>2122</v>
      </c>
      <c r="Y103" s="1" t="s">
        <v>1988</v>
      </c>
      <c r="Z103" t="s">
        <v>1989</v>
      </c>
      <c r="AA103" t="s">
        <v>2153</v>
      </c>
    </row>
    <row r="104" spans="1:27">
      <c r="A104" s="5">
        <f t="shared" ca="1" si="10"/>
        <v>93</v>
      </c>
      <c r="B104" s="1" t="s">
        <v>2099</v>
      </c>
      <c r="C104" s="1" t="s">
        <v>746</v>
      </c>
      <c r="D104" s="1" t="s">
        <v>2154</v>
      </c>
      <c r="E104" s="1" t="s">
        <v>2155</v>
      </c>
      <c r="F104" s="1" t="s">
        <v>1970</v>
      </c>
      <c r="G104" s="1" t="s">
        <v>1013</v>
      </c>
      <c r="H104" s="1" t="s">
        <v>1934</v>
      </c>
      <c r="I104" s="30" t="s">
        <v>2005</v>
      </c>
      <c r="J104" s="1">
        <v>2400</v>
      </c>
      <c r="K104" s="1" t="s">
        <v>1853</v>
      </c>
      <c r="L104" s="6" t="str">
        <f t="shared" si="11"/>
        <v>PWM, 7.5KW, SINCOS, ALL SUS, 2400, RIGHT HINGE</v>
      </c>
      <c r="N104" t="s">
        <v>99</v>
      </c>
      <c r="O104" t="s">
        <v>2006</v>
      </c>
      <c r="P104" t="s">
        <v>1971</v>
      </c>
      <c r="Q104">
        <f t="shared" si="12"/>
        <v>2400</v>
      </c>
      <c r="R104" t="str">
        <f t="shared" si="13"/>
        <v>7.5KW</v>
      </c>
      <c r="S104" t="str">
        <f t="shared" si="14"/>
        <v>SINCOS</v>
      </c>
      <c r="T104" t="str">
        <f t="shared" si="15"/>
        <v>RIGHT HINGE</v>
      </c>
      <c r="U104" t="str">
        <f t="shared" si="16"/>
        <v>MRLALL SUS-HL회생형24007.5KWSINCOSRIGHT HINGE</v>
      </c>
      <c r="V104" t="str">
        <f t="shared" si="17"/>
        <v>20410991G2100</v>
      </c>
      <c r="W104" t="str">
        <f t="shared" si="18"/>
        <v>WBSS-SE PWM</v>
      </c>
      <c r="X104" s="1" t="s">
        <v>2112</v>
      </c>
      <c r="Y104" s="1" t="s">
        <v>1973</v>
      </c>
      <c r="Z104" t="s">
        <v>1974</v>
      </c>
      <c r="AA104" t="s">
        <v>2156</v>
      </c>
    </row>
    <row r="105" spans="1:27">
      <c r="A105" s="5">
        <f t="shared" ca="1" si="10"/>
        <v>94</v>
      </c>
      <c r="B105" s="1" t="s">
        <v>2099</v>
      </c>
      <c r="C105" s="1" t="s">
        <v>746</v>
      </c>
      <c r="D105" s="1" t="s">
        <v>2157</v>
      </c>
      <c r="E105" s="1" t="s">
        <v>2155</v>
      </c>
      <c r="F105" s="1" t="s">
        <v>1970</v>
      </c>
      <c r="G105" s="1" t="s">
        <v>1016</v>
      </c>
      <c r="H105" s="1" t="s">
        <v>1934</v>
      </c>
      <c r="I105" s="30" t="s">
        <v>2005</v>
      </c>
      <c r="J105" s="1">
        <v>2400</v>
      </c>
      <c r="K105" s="1" t="s">
        <v>1853</v>
      </c>
      <c r="L105" s="6" t="str">
        <f t="shared" si="11"/>
        <v>PWM, 11KW, SINCOS, ALL SUS, 2400, RIGHT HINGE</v>
      </c>
      <c r="N105" t="s">
        <v>99</v>
      </c>
      <c r="O105" t="s">
        <v>2006</v>
      </c>
      <c r="P105" t="s">
        <v>1971</v>
      </c>
      <c r="Q105">
        <f t="shared" si="12"/>
        <v>2400</v>
      </c>
      <c r="R105" t="str">
        <f t="shared" si="13"/>
        <v>11KW</v>
      </c>
      <c r="S105" t="str">
        <f t="shared" si="14"/>
        <v>SINCOS</v>
      </c>
      <c r="T105" t="str">
        <f t="shared" si="15"/>
        <v>RIGHT HINGE</v>
      </c>
      <c r="U105" t="str">
        <f t="shared" si="16"/>
        <v>MRLALL SUS-HL회생형240011KWSINCOSRIGHT HINGE</v>
      </c>
      <c r="V105" t="str">
        <f t="shared" si="17"/>
        <v>20410991G2200</v>
      </c>
      <c r="W105" t="str">
        <f t="shared" si="18"/>
        <v>WBSS-SE PWM</v>
      </c>
      <c r="X105" s="1" t="s">
        <v>2115</v>
      </c>
      <c r="Y105" s="1" t="s">
        <v>1978</v>
      </c>
      <c r="Z105" t="s">
        <v>1979</v>
      </c>
      <c r="AA105" t="s">
        <v>2158</v>
      </c>
    </row>
    <row r="106" spans="1:27">
      <c r="A106" s="5">
        <f t="shared" ca="1" si="10"/>
        <v>95</v>
      </c>
      <c r="B106" s="1" t="s">
        <v>2099</v>
      </c>
      <c r="C106" s="1" t="s">
        <v>746</v>
      </c>
      <c r="D106" s="1" t="s">
        <v>2159</v>
      </c>
      <c r="E106" s="1" t="s">
        <v>2155</v>
      </c>
      <c r="F106" s="1" t="s">
        <v>1970</v>
      </c>
      <c r="G106" s="1" t="s">
        <v>1018</v>
      </c>
      <c r="H106" s="1" t="s">
        <v>1934</v>
      </c>
      <c r="I106" s="30" t="s">
        <v>2005</v>
      </c>
      <c r="J106" s="1">
        <v>2400</v>
      </c>
      <c r="K106" s="1" t="s">
        <v>1853</v>
      </c>
      <c r="L106" s="6" t="str">
        <f t="shared" si="11"/>
        <v>PWM, 15KW, SINCOS, ALL SUS, 2400, RIGHT HINGE</v>
      </c>
      <c r="N106" t="s">
        <v>99</v>
      </c>
      <c r="O106" t="s">
        <v>2006</v>
      </c>
      <c r="P106" t="s">
        <v>1971</v>
      </c>
      <c r="Q106">
        <f t="shared" si="12"/>
        <v>2400</v>
      </c>
      <c r="R106" t="str">
        <f t="shared" si="13"/>
        <v>15KW</v>
      </c>
      <c r="S106" t="str">
        <f t="shared" si="14"/>
        <v>SINCOS</v>
      </c>
      <c r="T106" t="str">
        <f t="shared" si="15"/>
        <v>RIGHT HINGE</v>
      </c>
      <c r="U106" t="str">
        <f t="shared" si="16"/>
        <v>MRLALL SUS-HL회생형240015KWSINCOSRIGHT HINGE</v>
      </c>
      <c r="V106" t="str">
        <f t="shared" si="17"/>
        <v>20410991G2300</v>
      </c>
      <c r="W106" t="str">
        <f t="shared" si="18"/>
        <v>WBSS-SE PWM</v>
      </c>
      <c r="X106" s="1" t="s">
        <v>2118</v>
      </c>
      <c r="Y106" s="1" t="s">
        <v>1983</v>
      </c>
      <c r="Z106" t="s">
        <v>1984</v>
      </c>
      <c r="AA106" t="s">
        <v>2160</v>
      </c>
    </row>
    <row r="107" spans="1:27">
      <c r="A107" s="5">
        <f t="shared" ca="1" si="10"/>
        <v>96</v>
      </c>
      <c r="B107" s="1" t="s">
        <v>2099</v>
      </c>
      <c r="C107" s="1" t="s">
        <v>746</v>
      </c>
      <c r="D107" s="1" t="s">
        <v>2161</v>
      </c>
      <c r="E107" s="1" t="s">
        <v>2162</v>
      </c>
      <c r="F107" s="1" t="s">
        <v>1970</v>
      </c>
      <c r="G107" s="1" t="s">
        <v>1020</v>
      </c>
      <c r="H107" s="1" t="s">
        <v>1934</v>
      </c>
      <c r="I107" s="30" t="s">
        <v>2005</v>
      </c>
      <c r="J107" s="1">
        <v>2400</v>
      </c>
      <c r="K107" s="1" t="s">
        <v>1853</v>
      </c>
      <c r="L107" s="6" t="str">
        <f t="shared" si="11"/>
        <v>PWM, 22KW, SINCOS, ALL SUS, 2400, RIGHT HINGE</v>
      </c>
      <c r="N107" t="s">
        <v>99</v>
      </c>
      <c r="O107" t="s">
        <v>2006</v>
      </c>
      <c r="P107" t="s">
        <v>1971</v>
      </c>
      <c r="Q107">
        <f t="shared" si="12"/>
        <v>2400</v>
      </c>
      <c r="R107" t="str">
        <f t="shared" si="13"/>
        <v>22KW</v>
      </c>
      <c r="S107" t="str">
        <f t="shared" si="14"/>
        <v>SINCOS</v>
      </c>
      <c r="T107" t="str">
        <f t="shared" si="15"/>
        <v>RIGHT HINGE</v>
      </c>
      <c r="U107" t="str">
        <f t="shared" si="16"/>
        <v>MRLALL SUS-HL회생형240022KWSINCOSRIGHT HINGE</v>
      </c>
      <c r="V107" t="str">
        <f t="shared" si="17"/>
        <v>20410991G2400</v>
      </c>
      <c r="W107" t="str">
        <f t="shared" si="18"/>
        <v>WBSS-SE PWM</v>
      </c>
      <c r="X107" s="1" t="s">
        <v>2122</v>
      </c>
      <c r="Y107" s="1" t="s">
        <v>1988</v>
      </c>
      <c r="Z107" t="s">
        <v>1989</v>
      </c>
      <c r="AA107" t="s">
        <v>2163</v>
      </c>
    </row>
    <row r="108" spans="1:27">
      <c r="A108" s="11">
        <f t="shared" ca="1" si="10"/>
        <v>97</v>
      </c>
      <c r="B108" s="24" t="s">
        <v>2099</v>
      </c>
      <c r="C108" s="24" t="s">
        <v>746</v>
      </c>
      <c r="D108" s="24" t="s">
        <v>2164</v>
      </c>
      <c r="E108" s="24" t="s">
        <v>2165</v>
      </c>
      <c r="F108" s="24" t="s">
        <v>1970</v>
      </c>
      <c r="G108" s="24" t="s">
        <v>1013</v>
      </c>
      <c r="H108" s="24" t="s">
        <v>1934</v>
      </c>
      <c r="I108" s="1"/>
      <c r="K108" s="24" t="s">
        <v>2061</v>
      </c>
      <c r="L108" s="6" t="str">
        <f t="shared" si="11"/>
        <v>PWM, 7.5KW, SINCOS, , , HOIST TYPE</v>
      </c>
      <c r="N108" t="s">
        <v>99</v>
      </c>
      <c r="P108" t="s">
        <v>1971</v>
      </c>
      <c r="R108" t="str">
        <f t="shared" si="13"/>
        <v>7.5KW</v>
      </c>
      <c r="S108" t="str">
        <f t="shared" si="14"/>
        <v>SINCOS</v>
      </c>
      <c r="T108" t="str">
        <f t="shared" si="15"/>
        <v>HOIST TYPE</v>
      </c>
      <c r="U108" t="str">
        <f t="shared" si="16"/>
        <v>MRL회생형7.5KWSINCOSHOIST TYPE</v>
      </c>
      <c r="V108" t="str">
        <f t="shared" si="17"/>
        <v>20410991G2500</v>
      </c>
      <c r="W108" t="str">
        <f t="shared" si="18"/>
        <v>WBSS-SE PWM</v>
      </c>
      <c r="X108" s="1" t="s">
        <v>2112</v>
      </c>
      <c r="Y108" s="1" t="s">
        <v>1973</v>
      </c>
      <c r="Z108" t="s">
        <v>1974</v>
      </c>
      <c r="AA108" t="s">
        <v>2166</v>
      </c>
    </row>
    <row r="109" spans="1:27">
      <c r="A109" s="11">
        <f t="shared" ca="1" si="10"/>
        <v>98</v>
      </c>
      <c r="B109" s="24" t="s">
        <v>2099</v>
      </c>
      <c r="C109" s="24" t="s">
        <v>746</v>
      </c>
      <c r="D109" s="24" t="s">
        <v>2167</v>
      </c>
      <c r="E109" s="24" t="s">
        <v>2165</v>
      </c>
      <c r="F109" s="24" t="s">
        <v>1970</v>
      </c>
      <c r="G109" s="24" t="s">
        <v>1016</v>
      </c>
      <c r="H109" s="24" t="s">
        <v>1934</v>
      </c>
      <c r="I109" s="1"/>
      <c r="K109" s="24" t="s">
        <v>2061</v>
      </c>
      <c r="L109" s="6" t="str">
        <f t="shared" si="11"/>
        <v>PWM, 11KW, SINCOS, , , HOIST TYPE</v>
      </c>
      <c r="N109" t="s">
        <v>99</v>
      </c>
      <c r="P109" t="s">
        <v>1971</v>
      </c>
      <c r="R109" t="str">
        <f t="shared" si="13"/>
        <v>11KW</v>
      </c>
      <c r="S109" t="str">
        <f t="shared" si="14"/>
        <v>SINCOS</v>
      </c>
      <c r="T109" t="str">
        <f t="shared" si="15"/>
        <v>HOIST TYPE</v>
      </c>
      <c r="U109" t="str">
        <f t="shared" si="16"/>
        <v>MRL회생형11KWSINCOSHOIST TYPE</v>
      </c>
      <c r="V109" t="str">
        <f t="shared" si="17"/>
        <v>20410991G2600</v>
      </c>
      <c r="W109" t="str">
        <f t="shared" si="18"/>
        <v>WBSS-SE PWM</v>
      </c>
      <c r="X109" s="1" t="s">
        <v>2115</v>
      </c>
      <c r="Y109" s="1" t="s">
        <v>1978</v>
      </c>
      <c r="Z109" t="s">
        <v>1979</v>
      </c>
      <c r="AA109" t="s">
        <v>2168</v>
      </c>
    </row>
    <row r="110" spans="1:27">
      <c r="A110" s="11">
        <f t="shared" ca="1" si="10"/>
        <v>99</v>
      </c>
      <c r="B110" s="24" t="s">
        <v>2099</v>
      </c>
      <c r="C110" s="24" t="s">
        <v>746</v>
      </c>
      <c r="D110" s="24" t="s">
        <v>2169</v>
      </c>
      <c r="E110" s="24" t="s">
        <v>2165</v>
      </c>
      <c r="F110" s="24" t="s">
        <v>1970</v>
      </c>
      <c r="G110" s="24" t="s">
        <v>1018</v>
      </c>
      <c r="H110" s="24" t="s">
        <v>1934</v>
      </c>
      <c r="I110" s="1"/>
      <c r="K110" s="24" t="s">
        <v>2061</v>
      </c>
      <c r="L110" s="6" t="str">
        <f t="shared" si="11"/>
        <v>PWM, 15KW, SINCOS, , , HOIST TYPE</v>
      </c>
      <c r="N110" t="s">
        <v>99</v>
      </c>
      <c r="P110" t="s">
        <v>1971</v>
      </c>
      <c r="R110" t="str">
        <f t="shared" si="13"/>
        <v>15KW</v>
      </c>
      <c r="S110" t="str">
        <f t="shared" si="14"/>
        <v>SINCOS</v>
      </c>
      <c r="T110" t="str">
        <f t="shared" si="15"/>
        <v>HOIST TYPE</v>
      </c>
      <c r="U110" t="str">
        <f t="shared" si="16"/>
        <v>MRL회생형15KWSINCOSHOIST TYPE</v>
      </c>
      <c r="V110" t="str">
        <f t="shared" si="17"/>
        <v>20410991G2700</v>
      </c>
      <c r="W110" t="str">
        <f t="shared" si="18"/>
        <v>WBSS-SE PWM</v>
      </c>
      <c r="X110" s="1" t="s">
        <v>2118</v>
      </c>
      <c r="Y110" s="1" t="s">
        <v>1983</v>
      </c>
      <c r="Z110" t="s">
        <v>1984</v>
      </c>
      <c r="AA110" t="s">
        <v>2170</v>
      </c>
    </row>
    <row r="111" spans="1:27">
      <c r="A111" s="12">
        <f t="shared" ca="1" si="10"/>
        <v>100</v>
      </c>
      <c r="B111" s="25" t="s">
        <v>2099</v>
      </c>
      <c r="C111" s="25" t="s">
        <v>746</v>
      </c>
      <c r="D111" s="25" t="s">
        <v>2171</v>
      </c>
      <c r="E111" s="25" t="s">
        <v>2172</v>
      </c>
      <c r="F111" s="25" t="s">
        <v>1970</v>
      </c>
      <c r="G111" s="25" t="s">
        <v>1020</v>
      </c>
      <c r="H111" s="25" t="s">
        <v>1934</v>
      </c>
      <c r="I111" s="23"/>
      <c r="K111" s="25" t="s">
        <v>2061</v>
      </c>
      <c r="L111" s="6" t="str">
        <f t="shared" si="11"/>
        <v>PWM, 22KW, SINCOS, , , HOIST TYPE</v>
      </c>
      <c r="N111" t="s">
        <v>99</v>
      </c>
      <c r="P111" t="s">
        <v>1971</v>
      </c>
      <c r="R111" t="str">
        <f t="shared" si="13"/>
        <v>22KW</v>
      </c>
      <c r="S111" t="str">
        <f t="shared" si="14"/>
        <v>SINCOS</v>
      </c>
      <c r="T111" t="str">
        <f t="shared" si="15"/>
        <v>HOIST TYPE</v>
      </c>
      <c r="U111" t="str">
        <f t="shared" si="16"/>
        <v>MRL회생형22KWSINCOSHOIST TYPE</v>
      </c>
      <c r="V111" t="str">
        <f t="shared" si="17"/>
        <v>20410991G2800</v>
      </c>
      <c r="W111" t="str">
        <f t="shared" si="18"/>
        <v>WBSS-SE PWM</v>
      </c>
      <c r="X111" s="1" t="s">
        <v>2122</v>
      </c>
      <c r="Y111" s="1" t="s">
        <v>1988</v>
      </c>
      <c r="Z111" t="s">
        <v>1989</v>
      </c>
      <c r="AA111" t="s">
        <v>2173</v>
      </c>
    </row>
    <row r="112" spans="1:27">
      <c r="A112" s="8">
        <f t="shared" ca="1" si="10"/>
        <v>101</v>
      </c>
      <c r="B112" s="22" t="s">
        <v>2099</v>
      </c>
      <c r="C112" s="22" t="s">
        <v>746</v>
      </c>
      <c r="D112" s="22" t="s">
        <v>2174</v>
      </c>
      <c r="E112" s="22" t="s">
        <v>2101</v>
      </c>
      <c r="F112" s="22" t="s">
        <v>1970</v>
      </c>
      <c r="G112" s="22" t="s">
        <v>1013</v>
      </c>
      <c r="H112" s="22" t="s">
        <v>1955</v>
      </c>
      <c r="I112" s="29" t="s">
        <v>2005</v>
      </c>
      <c r="J112" s="22">
        <v>2100</v>
      </c>
      <c r="K112" s="22" t="s">
        <v>1845</v>
      </c>
      <c r="L112" s="6" t="str">
        <f t="shared" si="11"/>
        <v>PWM, 7.5KW, INCREMENTAL, ALL SUS, 2100, LEFT HINGE</v>
      </c>
      <c r="N112" t="s">
        <v>99</v>
      </c>
      <c r="O112" t="s">
        <v>2006</v>
      </c>
      <c r="P112" t="s">
        <v>1971</v>
      </c>
      <c r="Q112">
        <f t="shared" si="12"/>
        <v>2100</v>
      </c>
      <c r="R112" t="str">
        <f t="shared" si="13"/>
        <v>7.5KW</v>
      </c>
      <c r="S112" t="str">
        <f t="shared" si="14"/>
        <v>INCREMENTAL</v>
      </c>
      <c r="T112" t="str">
        <f t="shared" si="15"/>
        <v>LEFT HINGE</v>
      </c>
      <c r="U112" t="str">
        <f t="shared" si="16"/>
        <v>MRLALL SUS-HL회생형21007.5KWINCREMENTALLEFT HINGE</v>
      </c>
      <c r="V112" t="str">
        <f t="shared" si="17"/>
        <v>20410991G2900</v>
      </c>
      <c r="W112" t="str">
        <f t="shared" si="18"/>
        <v>WBSS-SE PWM</v>
      </c>
      <c r="X112" s="1" t="s">
        <v>1992</v>
      </c>
      <c r="Y112" s="1" t="s">
        <v>1993</v>
      </c>
      <c r="Z112" t="s">
        <v>1974</v>
      </c>
      <c r="AA112" t="s">
        <v>2102</v>
      </c>
    </row>
    <row r="113" spans="1:27">
      <c r="A113" s="5">
        <f t="shared" ca="1" si="10"/>
        <v>102</v>
      </c>
      <c r="B113" s="1" t="s">
        <v>2099</v>
      </c>
      <c r="C113" s="1" t="s">
        <v>746</v>
      </c>
      <c r="D113" s="1" t="s">
        <v>2175</v>
      </c>
      <c r="E113" s="1" t="s">
        <v>2101</v>
      </c>
      <c r="F113" s="1" t="s">
        <v>1970</v>
      </c>
      <c r="G113" s="1" t="s">
        <v>1016</v>
      </c>
      <c r="H113" s="1" t="s">
        <v>1955</v>
      </c>
      <c r="I113" s="30" t="s">
        <v>2005</v>
      </c>
      <c r="J113" s="1">
        <v>2100</v>
      </c>
      <c r="K113" s="1" t="s">
        <v>1845</v>
      </c>
      <c r="L113" s="6" t="str">
        <f t="shared" si="11"/>
        <v>PWM, 11KW, INCREMENTAL, ALL SUS, 2100, LEFT HINGE</v>
      </c>
      <c r="N113" t="s">
        <v>99</v>
      </c>
      <c r="O113" t="s">
        <v>2006</v>
      </c>
      <c r="P113" t="s">
        <v>1971</v>
      </c>
      <c r="Q113">
        <f t="shared" si="12"/>
        <v>2100</v>
      </c>
      <c r="R113" t="str">
        <f t="shared" si="13"/>
        <v>11KW</v>
      </c>
      <c r="S113" t="str">
        <f t="shared" si="14"/>
        <v>INCREMENTAL</v>
      </c>
      <c r="T113" t="str">
        <f t="shared" si="15"/>
        <v>LEFT HINGE</v>
      </c>
      <c r="U113" t="str">
        <f t="shared" si="16"/>
        <v>MRLALL SUS-HL회생형210011KWINCREMENTALLEFT HINGE</v>
      </c>
      <c r="V113" t="str">
        <f t="shared" si="17"/>
        <v>20410991G3000</v>
      </c>
      <c r="W113" t="str">
        <f t="shared" si="18"/>
        <v>WBSS-SE PWM</v>
      </c>
      <c r="X113" s="1" t="s">
        <v>1995</v>
      </c>
      <c r="Y113" s="1" t="s">
        <v>1996</v>
      </c>
      <c r="Z113" t="s">
        <v>1979</v>
      </c>
      <c r="AA113" t="s">
        <v>2104</v>
      </c>
    </row>
    <row r="114" spans="1:27">
      <c r="A114" s="5">
        <f t="shared" ca="1" si="10"/>
        <v>103</v>
      </c>
      <c r="B114" s="1" t="s">
        <v>2099</v>
      </c>
      <c r="C114" s="1" t="s">
        <v>746</v>
      </c>
      <c r="D114" s="1" t="s">
        <v>2176</v>
      </c>
      <c r="E114" s="1" t="s">
        <v>2101</v>
      </c>
      <c r="F114" s="1" t="s">
        <v>1970</v>
      </c>
      <c r="G114" s="1" t="s">
        <v>1018</v>
      </c>
      <c r="H114" s="1" t="s">
        <v>1955</v>
      </c>
      <c r="I114" s="30" t="s">
        <v>2005</v>
      </c>
      <c r="J114" s="1">
        <v>2100</v>
      </c>
      <c r="K114" s="1" t="s">
        <v>1845</v>
      </c>
      <c r="L114" s="6" t="str">
        <f t="shared" si="11"/>
        <v>PWM, 15KW, INCREMENTAL, ALL SUS, 2100, LEFT HINGE</v>
      </c>
      <c r="N114" t="s">
        <v>99</v>
      </c>
      <c r="O114" t="s">
        <v>2006</v>
      </c>
      <c r="P114" t="s">
        <v>1971</v>
      </c>
      <c r="Q114">
        <f t="shared" si="12"/>
        <v>2100</v>
      </c>
      <c r="R114" t="str">
        <f t="shared" si="13"/>
        <v>15KW</v>
      </c>
      <c r="S114" t="str">
        <f t="shared" si="14"/>
        <v>INCREMENTAL</v>
      </c>
      <c r="T114" t="str">
        <f t="shared" si="15"/>
        <v>LEFT HINGE</v>
      </c>
      <c r="U114" t="str">
        <f t="shared" si="16"/>
        <v>MRLALL SUS-HL회생형210015KWINCREMENTALLEFT HINGE</v>
      </c>
      <c r="V114" t="str">
        <f t="shared" si="17"/>
        <v>20410991G3100</v>
      </c>
      <c r="W114" t="str">
        <f t="shared" si="18"/>
        <v>WBSS-SE PWM</v>
      </c>
      <c r="X114" s="1" t="s">
        <v>1998</v>
      </c>
      <c r="Y114" s="1" t="s">
        <v>1999</v>
      </c>
      <c r="Z114" t="s">
        <v>1984</v>
      </c>
      <c r="AA114" t="s">
        <v>2106</v>
      </c>
    </row>
    <row r="115" spans="1:27">
      <c r="A115" s="5">
        <f t="shared" ca="1" si="10"/>
        <v>104</v>
      </c>
      <c r="B115" s="1" t="s">
        <v>2099</v>
      </c>
      <c r="C115" s="1" t="s">
        <v>746</v>
      </c>
      <c r="D115" s="1" t="s">
        <v>2177</v>
      </c>
      <c r="E115" s="1" t="s">
        <v>2108</v>
      </c>
      <c r="F115" s="1" t="s">
        <v>1970</v>
      </c>
      <c r="G115" s="1" t="s">
        <v>1020</v>
      </c>
      <c r="H115" s="1" t="s">
        <v>1955</v>
      </c>
      <c r="I115" s="30" t="s">
        <v>2005</v>
      </c>
      <c r="J115" s="1">
        <v>2100</v>
      </c>
      <c r="K115" s="1" t="s">
        <v>1845</v>
      </c>
      <c r="L115" s="6" t="str">
        <f t="shared" si="11"/>
        <v>PWM, 22KW, INCREMENTAL, ALL SUS, 2100, LEFT HINGE</v>
      </c>
      <c r="N115" t="s">
        <v>99</v>
      </c>
      <c r="O115" t="s">
        <v>2006</v>
      </c>
      <c r="P115" t="s">
        <v>1971</v>
      </c>
      <c r="Q115">
        <f t="shared" si="12"/>
        <v>2100</v>
      </c>
      <c r="R115" t="str">
        <f t="shared" si="13"/>
        <v>22KW</v>
      </c>
      <c r="S115" t="str">
        <f t="shared" si="14"/>
        <v>INCREMENTAL</v>
      </c>
      <c r="T115" t="str">
        <f t="shared" si="15"/>
        <v>LEFT HINGE</v>
      </c>
      <c r="U115" t="str">
        <f t="shared" si="16"/>
        <v>MRLALL SUS-HL회생형210022KWINCREMENTALLEFT HINGE</v>
      </c>
      <c r="V115" t="str">
        <f t="shared" si="17"/>
        <v>20410991G3200</v>
      </c>
      <c r="W115" t="str">
        <f t="shared" si="18"/>
        <v>WBSS-SE PWM</v>
      </c>
      <c r="X115" s="1" t="s">
        <v>2001</v>
      </c>
      <c r="Y115" s="1" t="s">
        <v>2002</v>
      </c>
      <c r="Z115" t="s">
        <v>1989</v>
      </c>
      <c r="AA115" t="s">
        <v>2109</v>
      </c>
    </row>
    <row r="116" spans="1:27">
      <c r="A116" s="11">
        <f t="shared" ca="1" si="10"/>
        <v>105</v>
      </c>
      <c r="B116" s="24" t="s">
        <v>2099</v>
      </c>
      <c r="C116" s="24" t="s">
        <v>746</v>
      </c>
      <c r="D116" s="24" t="s">
        <v>2178</v>
      </c>
      <c r="E116" s="24" t="s">
        <v>2111</v>
      </c>
      <c r="F116" s="24" t="s">
        <v>1970</v>
      </c>
      <c r="G116" s="24" t="s">
        <v>1013</v>
      </c>
      <c r="H116" s="24" t="s">
        <v>1955</v>
      </c>
      <c r="I116" s="30" t="s">
        <v>2005</v>
      </c>
      <c r="J116" s="24">
        <v>2200</v>
      </c>
      <c r="K116" s="24" t="s">
        <v>1845</v>
      </c>
      <c r="L116" s="6" t="str">
        <f t="shared" si="11"/>
        <v>PWM, 7.5KW, INCREMENTAL, ALL SUS, 2200, LEFT HINGE</v>
      </c>
      <c r="N116" t="s">
        <v>99</v>
      </c>
      <c r="O116" t="s">
        <v>2006</v>
      </c>
      <c r="P116" t="s">
        <v>1971</v>
      </c>
      <c r="Q116">
        <f t="shared" si="12"/>
        <v>2200</v>
      </c>
      <c r="R116" t="str">
        <f t="shared" si="13"/>
        <v>7.5KW</v>
      </c>
      <c r="S116" t="str">
        <f t="shared" si="14"/>
        <v>INCREMENTAL</v>
      </c>
      <c r="T116" t="str">
        <f t="shared" si="15"/>
        <v>LEFT HINGE</v>
      </c>
      <c r="U116" t="str">
        <f t="shared" si="16"/>
        <v>MRLALL SUS-HL회생형22007.5KWINCREMENTALLEFT HINGE</v>
      </c>
      <c r="V116" t="str">
        <f t="shared" si="17"/>
        <v>20410991G3300</v>
      </c>
      <c r="W116" t="str">
        <f t="shared" si="18"/>
        <v>WBSS-SE PWM</v>
      </c>
      <c r="X116" s="1" t="s">
        <v>1992</v>
      </c>
      <c r="Y116" s="1" t="s">
        <v>1993</v>
      </c>
      <c r="Z116" t="s">
        <v>1974</v>
      </c>
      <c r="AA116" t="s">
        <v>2113</v>
      </c>
    </row>
    <row r="117" spans="1:27">
      <c r="A117" s="11">
        <f t="shared" ca="1" si="10"/>
        <v>106</v>
      </c>
      <c r="B117" s="24" t="s">
        <v>2099</v>
      </c>
      <c r="C117" s="24" t="s">
        <v>746</v>
      </c>
      <c r="D117" s="24" t="s">
        <v>2179</v>
      </c>
      <c r="E117" s="24" t="s">
        <v>2111</v>
      </c>
      <c r="F117" s="24" t="s">
        <v>1970</v>
      </c>
      <c r="G117" s="24" t="s">
        <v>1016</v>
      </c>
      <c r="H117" s="24" t="s">
        <v>1955</v>
      </c>
      <c r="I117" s="30" t="s">
        <v>2005</v>
      </c>
      <c r="J117" s="24">
        <v>2200</v>
      </c>
      <c r="K117" s="24" t="s">
        <v>1845</v>
      </c>
      <c r="L117" s="6" t="str">
        <f t="shared" si="11"/>
        <v>PWM, 11KW, INCREMENTAL, ALL SUS, 2200, LEFT HINGE</v>
      </c>
      <c r="N117" t="s">
        <v>99</v>
      </c>
      <c r="O117" t="s">
        <v>2006</v>
      </c>
      <c r="P117" t="s">
        <v>1971</v>
      </c>
      <c r="Q117">
        <f t="shared" si="12"/>
        <v>2200</v>
      </c>
      <c r="R117" t="str">
        <f t="shared" si="13"/>
        <v>11KW</v>
      </c>
      <c r="S117" t="str">
        <f t="shared" si="14"/>
        <v>INCREMENTAL</v>
      </c>
      <c r="T117" t="str">
        <f t="shared" si="15"/>
        <v>LEFT HINGE</v>
      </c>
      <c r="U117" t="str">
        <f t="shared" si="16"/>
        <v>MRLALL SUS-HL회생형220011KWINCREMENTALLEFT HINGE</v>
      </c>
      <c r="V117" t="str">
        <f t="shared" si="17"/>
        <v>20410991G3400</v>
      </c>
      <c r="W117" t="str">
        <f t="shared" si="18"/>
        <v>WBSS-SE PWM</v>
      </c>
      <c r="X117" s="1" t="s">
        <v>1995</v>
      </c>
      <c r="Y117" s="1" t="s">
        <v>1996</v>
      </c>
      <c r="Z117" t="s">
        <v>1979</v>
      </c>
      <c r="AA117" t="s">
        <v>2116</v>
      </c>
    </row>
    <row r="118" spans="1:27">
      <c r="A118" s="11">
        <f t="shared" ca="1" si="10"/>
        <v>107</v>
      </c>
      <c r="B118" s="24" t="s">
        <v>2099</v>
      </c>
      <c r="C118" s="24" t="s">
        <v>746</v>
      </c>
      <c r="D118" s="24" t="s">
        <v>2180</v>
      </c>
      <c r="E118" s="24" t="s">
        <v>2111</v>
      </c>
      <c r="F118" s="24" t="s">
        <v>1970</v>
      </c>
      <c r="G118" s="24" t="s">
        <v>1018</v>
      </c>
      <c r="H118" s="24" t="s">
        <v>1955</v>
      </c>
      <c r="I118" s="30" t="s">
        <v>2005</v>
      </c>
      <c r="J118" s="24">
        <v>2200</v>
      </c>
      <c r="K118" s="24" t="s">
        <v>1845</v>
      </c>
      <c r="L118" s="6" t="str">
        <f t="shared" si="11"/>
        <v>PWM, 15KW, INCREMENTAL, ALL SUS, 2200, LEFT HINGE</v>
      </c>
      <c r="N118" t="s">
        <v>99</v>
      </c>
      <c r="O118" t="s">
        <v>2006</v>
      </c>
      <c r="P118" t="s">
        <v>1971</v>
      </c>
      <c r="Q118">
        <f t="shared" si="12"/>
        <v>2200</v>
      </c>
      <c r="R118" t="str">
        <f t="shared" si="13"/>
        <v>15KW</v>
      </c>
      <c r="S118" t="str">
        <f t="shared" si="14"/>
        <v>INCREMENTAL</v>
      </c>
      <c r="T118" t="str">
        <f t="shared" si="15"/>
        <v>LEFT HINGE</v>
      </c>
      <c r="U118" t="str">
        <f t="shared" si="16"/>
        <v>MRLALL SUS-HL회생형220015KWINCREMENTALLEFT HINGE</v>
      </c>
      <c r="V118" t="str">
        <f t="shared" si="17"/>
        <v>20410991G3500</v>
      </c>
      <c r="W118" t="str">
        <f t="shared" si="18"/>
        <v>WBSS-SE PWM</v>
      </c>
      <c r="X118" s="1" t="s">
        <v>1998</v>
      </c>
      <c r="Y118" s="1" t="s">
        <v>1999</v>
      </c>
      <c r="Z118" t="s">
        <v>1984</v>
      </c>
      <c r="AA118" t="s">
        <v>2119</v>
      </c>
    </row>
    <row r="119" spans="1:27">
      <c r="A119" s="11">
        <f t="shared" ca="1" si="10"/>
        <v>108</v>
      </c>
      <c r="B119" s="24" t="s">
        <v>2099</v>
      </c>
      <c r="C119" s="24" t="s">
        <v>746</v>
      </c>
      <c r="D119" s="24" t="s">
        <v>2181</v>
      </c>
      <c r="E119" s="24" t="s">
        <v>2121</v>
      </c>
      <c r="F119" s="24" t="s">
        <v>1970</v>
      </c>
      <c r="G119" s="24" t="s">
        <v>1020</v>
      </c>
      <c r="H119" s="24" t="s">
        <v>1955</v>
      </c>
      <c r="I119" s="30" t="s">
        <v>2005</v>
      </c>
      <c r="J119" s="24">
        <v>2200</v>
      </c>
      <c r="K119" s="24" t="s">
        <v>1845</v>
      </c>
      <c r="L119" s="6" t="str">
        <f t="shared" si="11"/>
        <v>PWM, 22KW, INCREMENTAL, ALL SUS, 2200, LEFT HINGE</v>
      </c>
      <c r="N119" t="s">
        <v>99</v>
      </c>
      <c r="O119" t="s">
        <v>2006</v>
      </c>
      <c r="P119" t="s">
        <v>1971</v>
      </c>
      <c r="Q119">
        <f t="shared" si="12"/>
        <v>2200</v>
      </c>
      <c r="R119" t="str">
        <f t="shared" si="13"/>
        <v>22KW</v>
      </c>
      <c r="S119" t="str">
        <f t="shared" si="14"/>
        <v>INCREMENTAL</v>
      </c>
      <c r="T119" t="str">
        <f t="shared" si="15"/>
        <v>LEFT HINGE</v>
      </c>
      <c r="U119" t="str">
        <f t="shared" si="16"/>
        <v>MRLALL SUS-HL회생형220022KWINCREMENTALLEFT HINGE</v>
      </c>
      <c r="V119" t="str">
        <f t="shared" si="17"/>
        <v>20410991G3600</v>
      </c>
      <c r="W119" t="str">
        <f t="shared" si="18"/>
        <v>WBSS-SE PWM</v>
      </c>
      <c r="X119" s="1" t="s">
        <v>2001</v>
      </c>
      <c r="Y119" s="1" t="s">
        <v>2002</v>
      </c>
      <c r="Z119" t="s">
        <v>1989</v>
      </c>
      <c r="AA119" t="s">
        <v>2123</v>
      </c>
    </row>
    <row r="120" spans="1:27">
      <c r="A120" s="5">
        <f t="shared" ca="1" si="10"/>
        <v>109</v>
      </c>
      <c r="B120" s="1" t="s">
        <v>2099</v>
      </c>
      <c r="C120" s="1" t="s">
        <v>746</v>
      </c>
      <c r="D120" s="1" t="s">
        <v>2182</v>
      </c>
      <c r="E120" s="1" t="s">
        <v>2125</v>
      </c>
      <c r="F120" s="1" t="s">
        <v>1970</v>
      </c>
      <c r="G120" s="1" t="s">
        <v>1013</v>
      </c>
      <c r="H120" s="1" t="s">
        <v>1955</v>
      </c>
      <c r="I120" s="30" t="s">
        <v>2005</v>
      </c>
      <c r="J120" s="1">
        <v>2400</v>
      </c>
      <c r="K120" s="1" t="s">
        <v>1845</v>
      </c>
      <c r="L120" s="6" t="str">
        <f t="shared" si="11"/>
        <v>PWM, 7.5KW, INCREMENTAL, ALL SUS, 2400, LEFT HINGE</v>
      </c>
      <c r="N120" t="s">
        <v>99</v>
      </c>
      <c r="O120" t="s">
        <v>2006</v>
      </c>
      <c r="P120" t="s">
        <v>1971</v>
      </c>
      <c r="Q120">
        <f t="shared" si="12"/>
        <v>2400</v>
      </c>
      <c r="R120" t="str">
        <f t="shared" si="13"/>
        <v>7.5KW</v>
      </c>
      <c r="S120" t="str">
        <f t="shared" si="14"/>
        <v>INCREMENTAL</v>
      </c>
      <c r="T120" t="str">
        <f t="shared" si="15"/>
        <v>LEFT HINGE</v>
      </c>
      <c r="U120" t="str">
        <f t="shared" si="16"/>
        <v>MRLALL SUS-HL회생형24007.5KWINCREMENTALLEFT HINGE</v>
      </c>
      <c r="V120" t="str">
        <f t="shared" si="17"/>
        <v>20410991G3700</v>
      </c>
      <c r="W120" t="str">
        <f t="shared" si="18"/>
        <v>WBSS-SE PWM</v>
      </c>
      <c r="X120" s="1" t="s">
        <v>1992</v>
      </c>
      <c r="Y120" s="1" t="s">
        <v>1993</v>
      </c>
      <c r="Z120" t="s">
        <v>1974</v>
      </c>
      <c r="AA120" t="s">
        <v>2126</v>
      </c>
    </row>
    <row r="121" spans="1:27">
      <c r="A121" s="5">
        <f t="shared" ca="1" si="10"/>
        <v>110</v>
      </c>
      <c r="B121" s="1" t="s">
        <v>2099</v>
      </c>
      <c r="C121" s="1" t="s">
        <v>746</v>
      </c>
      <c r="D121" s="1" t="s">
        <v>2183</v>
      </c>
      <c r="E121" s="1" t="s">
        <v>2125</v>
      </c>
      <c r="F121" s="1" t="s">
        <v>1970</v>
      </c>
      <c r="G121" s="1" t="s">
        <v>1016</v>
      </c>
      <c r="H121" s="1" t="s">
        <v>1955</v>
      </c>
      <c r="I121" s="30" t="s">
        <v>2005</v>
      </c>
      <c r="J121" s="1">
        <v>2400</v>
      </c>
      <c r="K121" s="1" t="s">
        <v>1845</v>
      </c>
      <c r="L121" s="6" t="str">
        <f t="shared" si="11"/>
        <v>PWM, 11KW, INCREMENTAL, ALL SUS, 2400, LEFT HINGE</v>
      </c>
      <c r="N121" t="s">
        <v>99</v>
      </c>
      <c r="O121" t="s">
        <v>2006</v>
      </c>
      <c r="P121" t="s">
        <v>1971</v>
      </c>
      <c r="Q121">
        <f t="shared" si="12"/>
        <v>2400</v>
      </c>
      <c r="R121" t="str">
        <f t="shared" si="13"/>
        <v>11KW</v>
      </c>
      <c r="S121" t="str">
        <f t="shared" si="14"/>
        <v>INCREMENTAL</v>
      </c>
      <c r="T121" t="str">
        <f t="shared" si="15"/>
        <v>LEFT HINGE</v>
      </c>
      <c r="U121" t="str">
        <f t="shared" si="16"/>
        <v>MRLALL SUS-HL회생형240011KWINCREMENTALLEFT HINGE</v>
      </c>
      <c r="V121" t="str">
        <f t="shared" si="17"/>
        <v>20410991G3800</v>
      </c>
      <c r="W121" t="str">
        <f t="shared" si="18"/>
        <v>WBSS-SE PWM</v>
      </c>
      <c r="X121" s="1" t="s">
        <v>1995</v>
      </c>
      <c r="Y121" s="1" t="s">
        <v>1996</v>
      </c>
      <c r="Z121" t="s">
        <v>1979</v>
      </c>
      <c r="AA121" t="s">
        <v>2128</v>
      </c>
    </row>
    <row r="122" spans="1:27">
      <c r="A122" s="5">
        <f t="shared" ca="1" si="10"/>
        <v>111</v>
      </c>
      <c r="B122" s="1" t="s">
        <v>2099</v>
      </c>
      <c r="C122" s="1" t="s">
        <v>746</v>
      </c>
      <c r="D122" s="1" t="s">
        <v>2184</v>
      </c>
      <c r="E122" s="1" t="s">
        <v>2125</v>
      </c>
      <c r="F122" s="1" t="s">
        <v>1970</v>
      </c>
      <c r="G122" s="1" t="s">
        <v>1018</v>
      </c>
      <c r="H122" s="1" t="s">
        <v>1955</v>
      </c>
      <c r="I122" s="30" t="s">
        <v>2005</v>
      </c>
      <c r="J122" s="1">
        <v>2400</v>
      </c>
      <c r="K122" s="1" t="s">
        <v>1845</v>
      </c>
      <c r="L122" s="6" t="str">
        <f t="shared" si="11"/>
        <v>PWM, 15KW, INCREMENTAL, ALL SUS, 2400, LEFT HINGE</v>
      </c>
      <c r="N122" t="s">
        <v>99</v>
      </c>
      <c r="O122" t="s">
        <v>2006</v>
      </c>
      <c r="P122" t="s">
        <v>1971</v>
      </c>
      <c r="Q122">
        <f t="shared" si="12"/>
        <v>2400</v>
      </c>
      <c r="R122" t="str">
        <f t="shared" si="13"/>
        <v>15KW</v>
      </c>
      <c r="S122" t="str">
        <f t="shared" si="14"/>
        <v>INCREMENTAL</v>
      </c>
      <c r="T122" t="str">
        <f t="shared" si="15"/>
        <v>LEFT HINGE</v>
      </c>
      <c r="U122" t="str">
        <f t="shared" si="16"/>
        <v>MRLALL SUS-HL회생형240015KWINCREMENTALLEFT HINGE</v>
      </c>
      <c r="V122" t="str">
        <f t="shared" si="17"/>
        <v>20410991G3900</v>
      </c>
      <c r="W122" t="str">
        <f t="shared" si="18"/>
        <v>WBSS-SE PWM</v>
      </c>
      <c r="X122" s="1" t="s">
        <v>1998</v>
      </c>
      <c r="Y122" s="1" t="s">
        <v>1999</v>
      </c>
      <c r="Z122" t="s">
        <v>1984</v>
      </c>
      <c r="AA122" t="s">
        <v>2130</v>
      </c>
    </row>
    <row r="123" spans="1:27">
      <c r="A123" s="5">
        <f t="shared" ca="1" si="10"/>
        <v>112</v>
      </c>
      <c r="B123" s="1" t="s">
        <v>2099</v>
      </c>
      <c r="C123" s="1" t="s">
        <v>746</v>
      </c>
      <c r="D123" s="1" t="s">
        <v>2185</v>
      </c>
      <c r="E123" s="1" t="s">
        <v>2132</v>
      </c>
      <c r="F123" s="1" t="s">
        <v>1970</v>
      </c>
      <c r="G123" s="1" t="s">
        <v>1020</v>
      </c>
      <c r="H123" s="1" t="s">
        <v>1955</v>
      </c>
      <c r="I123" s="30" t="s">
        <v>2005</v>
      </c>
      <c r="J123" s="1">
        <v>2400</v>
      </c>
      <c r="K123" s="1" t="s">
        <v>1845</v>
      </c>
      <c r="L123" s="6" t="str">
        <f t="shared" si="11"/>
        <v>PWM, 22KW, INCREMENTAL, ALL SUS, 2400, LEFT HINGE</v>
      </c>
      <c r="N123" t="s">
        <v>99</v>
      </c>
      <c r="O123" t="s">
        <v>2006</v>
      </c>
      <c r="P123" t="s">
        <v>1971</v>
      </c>
      <c r="Q123">
        <f t="shared" si="12"/>
        <v>2400</v>
      </c>
      <c r="R123" t="str">
        <f t="shared" si="13"/>
        <v>22KW</v>
      </c>
      <c r="S123" t="str">
        <f t="shared" si="14"/>
        <v>INCREMENTAL</v>
      </c>
      <c r="T123" t="str">
        <f t="shared" si="15"/>
        <v>LEFT HINGE</v>
      </c>
      <c r="U123" t="str">
        <f t="shared" si="16"/>
        <v>MRLALL SUS-HL회생형240022KWINCREMENTALLEFT HINGE</v>
      </c>
      <c r="V123" t="str">
        <f t="shared" si="17"/>
        <v>20410991G4000</v>
      </c>
      <c r="W123" t="str">
        <f t="shared" si="18"/>
        <v>WBSS-SE PWM</v>
      </c>
      <c r="X123" s="1" t="s">
        <v>2001</v>
      </c>
      <c r="Y123" s="1" t="s">
        <v>2002</v>
      </c>
      <c r="Z123" t="s">
        <v>1989</v>
      </c>
      <c r="AA123" t="s">
        <v>2133</v>
      </c>
    </row>
    <row r="124" spans="1:27">
      <c r="A124" s="11">
        <f t="shared" ca="1" si="10"/>
        <v>113</v>
      </c>
      <c r="B124" s="24" t="s">
        <v>2099</v>
      </c>
      <c r="C124" s="24" t="s">
        <v>746</v>
      </c>
      <c r="D124" s="24" t="s">
        <v>2186</v>
      </c>
      <c r="E124" s="24" t="s">
        <v>2135</v>
      </c>
      <c r="F124" s="24" t="s">
        <v>1970</v>
      </c>
      <c r="G124" s="24" t="s">
        <v>1013</v>
      </c>
      <c r="H124" s="24" t="s">
        <v>1955</v>
      </c>
      <c r="I124" s="30" t="s">
        <v>2005</v>
      </c>
      <c r="J124" s="24">
        <v>2100</v>
      </c>
      <c r="K124" s="24" t="s">
        <v>1853</v>
      </c>
      <c r="L124" s="6" t="str">
        <f t="shared" si="11"/>
        <v>PWM, 7.5KW, INCREMENTAL, ALL SUS, 2100, RIGHT HINGE</v>
      </c>
      <c r="N124" t="s">
        <v>99</v>
      </c>
      <c r="O124" t="s">
        <v>2006</v>
      </c>
      <c r="P124" t="s">
        <v>1971</v>
      </c>
      <c r="Q124">
        <f t="shared" si="12"/>
        <v>2100</v>
      </c>
      <c r="R124" t="str">
        <f t="shared" si="13"/>
        <v>7.5KW</v>
      </c>
      <c r="S124" t="str">
        <f t="shared" si="14"/>
        <v>INCREMENTAL</v>
      </c>
      <c r="T124" t="str">
        <f t="shared" si="15"/>
        <v>RIGHT HINGE</v>
      </c>
      <c r="U124" t="str">
        <f t="shared" si="16"/>
        <v>MRLALL SUS-HL회생형21007.5KWINCREMENTALRIGHT HINGE</v>
      </c>
      <c r="V124" t="str">
        <f t="shared" si="17"/>
        <v>20410991G4100</v>
      </c>
      <c r="W124" t="str">
        <f t="shared" si="18"/>
        <v>WBSS-SE PWM</v>
      </c>
      <c r="X124" s="1" t="s">
        <v>1992</v>
      </c>
      <c r="Y124" s="1" t="s">
        <v>1993</v>
      </c>
      <c r="Z124" t="s">
        <v>1974</v>
      </c>
      <c r="AA124" t="s">
        <v>2136</v>
      </c>
    </row>
    <row r="125" spans="1:27">
      <c r="A125" s="11">
        <f t="shared" ca="1" si="10"/>
        <v>114</v>
      </c>
      <c r="B125" s="24" t="s">
        <v>2099</v>
      </c>
      <c r="C125" s="24" t="s">
        <v>746</v>
      </c>
      <c r="D125" s="24" t="s">
        <v>2187</v>
      </c>
      <c r="E125" s="24" t="s">
        <v>2135</v>
      </c>
      <c r="F125" s="24" t="s">
        <v>1970</v>
      </c>
      <c r="G125" s="24" t="s">
        <v>1016</v>
      </c>
      <c r="H125" s="24" t="s">
        <v>1955</v>
      </c>
      <c r="I125" s="30" t="s">
        <v>2005</v>
      </c>
      <c r="J125" s="24">
        <v>2100</v>
      </c>
      <c r="K125" s="24" t="s">
        <v>1853</v>
      </c>
      <c r="L125" s="6" t="str">
        <f t="shared" si="11"/>
        <v>PWM, 11KW, INCREMENTAL, ALL SUS, 2100, RIGHT HINGE</v>
      </c>
      <c r="N125" t="s">
        <v>99</v>
      </c>
      <c r="O125" t="s">
        <v>2006</v>
      </c>
      <c r="P125" t="s">
        <v>1971</v>
      </c>
      <c r="Q125">
        <f t="shared" si="12"/>
        <v>2100</v>
      </c>
      <c r="R125" t="str">
        <f t="shared" si="13"/>
        <v>11KW</v>
      </c>
      <c r="S125" t="str">
        <f t="shared" si="14"/>
        <v>INCREMENTAL</v>
      </c>
      <c r="T125" t="str">
        <f t="shared" si="15"/>
        <v>RIGHT HINGE</v>
      </c>
      <c r="U125" t="str">
        <f t="shared" si="16"/>
        <v>MRLALL SUS-HL회생형210011KWINCREMENTALRIGHT HINGE</v>
      </c>
      <c r="V125" t="str">
        <f t="shared" si="17"/>
        <v>20410991G4200</v>
      </c>
      <c r="W125" t="str">
        <f t="shared" si="18"/>
        <v>WBSS-SE PWM</v>
      </c>
      <c r="X125" s="1" t="s">
        <v>1995</v>
      </c>
      <c r="Y125" s="1" t="s">
        <v>1996</v>
      </c>
      <c r="Z125" t="s">
        <v>1979</v>
      </c>
      <c r="AA125" t="s">
        <v>2138</v>
      </c>
    </row>
    <row r="126" spans="1:27">
      <c r="A126" s="11">
        <f t="shared" ca="1" si="10"/>
        <v>115</v>
      </c>
      <c r="B126" s="24" t="s">
        <v>2099</v>
      </c>
      <c r="C126" s="24" t="s">
        <v>746</v>
      </c>
      <c r="D126" s="24" t="s">
        <v>2188</v>
      </c>
      <c r="E126" s="24" t="s">
        <v>2135</v>
      </c>
      <c r="F126" s="24" t="s">
        <v>1970</v>
      </c>
      <c r="G126" s="24" t="s">
        <v>1018</v>
      </c>
      <c r="H126" s="24" t="s">
        <v>1955</v>
      </c>
      <c r="I126" s="30" t="s">
        <v>2005</v>
      </c>
      <c r="J126" s="24">
        <v>2100</v>
      </c>
      <c r="K126" s="24" t="s">
        <v>1853</v>
      </c>
      <c r="L126" s="6" t="str">
        <f t="shared" si="11"/>
        <v>PWM, 15KW, INCREMENTAL, ALL SUS, 2100, RIGHT HINGE</v>
      </c>
      <c r="N126" t="s">
        <v>99</v>
      </c>
      <c r="O126" t="s">
        <v>2006</v>
      </c>
      <c r="P126" t="s">
        <v>1971</v>
      </c>
      <c r="Q126">
        <f t="shared" si="12"/>
        <v>2100</v>
      </c>
      <c r="R126" t="str">
        <f t="shared" si="13"/>
        <v>15KW</v>
      </c>
      <c r="S126" t="str">
        <f t="shared" si="14"/>
        <v>INCREMENTAL</v>
      </c>
      <c r="T126" t="str">
        <f t="shared" si="15"/>
        <v>RIGHT HINGE</v>
      </c>
      <c r="U126" t="str">
        <f t="shared" si="16"/>
        <v>MRLALL SUS-HL회생형210015KWINCREMENTALRIGHT HINGE</v>
      </c>
      <c r="V126" t="str">
        <f t="shared" si="17"/>
        <v>20410991G4300</v>
      </c>
      <c r="W126" t="str">
        <f t="shared" si="18"/>
        <v>WBSS-SE PWM</v>
      </c>
      <c r="X126" s="1" t="s">
        <v>1998</v>
      </c>
      <c r="Y126" s="1" t="s">
        <v>1999</v>
      </c>
      <c r="Z126" t="s">
        <v>1984</v>
      </c>
      <c r="AA126" t="s">
        <v>2140</v>
      </c>
    </row>
    <row r="127" spans="1:27">
      <c r="A127" s="11">
        <f t="shared" ca="1" si="10"/>
        <v>116</v>
      </c>
      <c r="B127" s="24" t="s">
        <v>2099</v>
      </c>
      <c r="C127" s="24" t="s">
        <v>746</v>
      </c>
      <c r="D127" s="24" t="s">
        <v>2189</v>
      </c>
      <c r="E127" s="24" t="s">
        <v>2142</v>
      </c>
      <c r="F127" s="24" t="s">
        <v>1970</v>
      </c>
      <c r="G127" s="24" t="s">
        <v>1020</v>
      </c>
      <c r="H127" s="24" t="s">
        <v>1955</v>
      </c>
      <c r="I127" s="30" t="s">
        <v>2005</v>
      </c>
      <c r="J127" s="24">
        <v>2100</v>
      </c>
      <c r="K127" s="24" t="s">
        <v>1853</v>
      </c>
      <c r="L127" s="6" t="str">
        <f t="shared" si="11"/>
        <v>PWM, 22KW, INCREMENTAL, ALL SUS, 2100, RIGHT HINGE</v>
      </c>
      <c r="N127" t="s">
        <v>99</v>
      </c>
      <c r="O127" t="s">
        <v>2006</v>
      </c>
      <c r="P127" t="s">
        <v>1971</v>
      </c>
      <c r="Q127">
        <f t="shared" si="12"/>
        <v>2100</v>
      </c>
      <c r="R127" t="str">
        <f t="shared" si="13"/>
        <v>22KW</v>
      </c>
      <c r="S127" t="str">
        <f t="shared" si="14"/>
        <v>INCREMENTAL</v>
      </c>
      <c r="T127" t="str">
        <f t="shared" si="15"/>
        <v>RIGHT HINGE</v>
      </c>
      <c r="U127" t="str">
        <f t="shared" si="16"/>
        <v>MRLALL SUS-HL회생형210022KWINCREMENTALRIGHT HINGE</v>
      </c>
      <c r="V127" t="str">
        <f t="shared" si="17"/>
        <v>20410991G4400</v>
      </c>
      <c r="W127" t="str">
        <f t="shared" si="18"/>
        <v>WBSS-SE PWM</v>
      </c>
      <c r="X127" s="1" t="s">
        <v>2001</v>
      </c>
      <c r="Y127" s="1" t="s">
        <v>2002</v>
      </c>
      <c r="Z127" t="s">
        <v>1989</v>
      </c>
      <c r="AA127" t="s">
        <v>2143</v>
      </c>
    </row>
    <row r="128" spans="1:27">
      <c r="A128" s="5">
        <f t="shared" ca="1" si="10"/>
        <v>117</v>
      </c>
      <c r="B128" s="1" t="s">
        <v>2099</v>
      </c>
      <c r="C128" s="1" t="s">
        <v>746</v>
      </c>
      <c r="D128" s="1" t="s">
        <v>2190</v>
      </c>
      <c r="E128" s="1" t="s">
        <v>2145</v>
      </c>
      <c r="F128" s="1" t="s">
        <v>1970</v>
      </c>
      <c r="G128" s="1" t="s">
        <v>1013</v>
      </c>
      <c r="H128" s="1" t="s">
        <v>1955</v>
      </c>
      <c r="I128" s="30" t="s">
        <v>2005</v>
      </c>
      <c r="J128" s="1">
        <v>2200</v>
      </c>
      <c r="K128" s="1" t="s">
        <v>1853</v>
      </c>
      <c r="L128" s="6" t="str">
        <f t="shared" si="11"/>
        <v>PWM, 7.5KW, INCREMENTAL, ALL SUS, 2200, RIGHT HINGE</v>
      </c>
      <c r="N128" t="s">
        <v>99</v>
      </c>
      <c r="O128" t="s">
        <v>2006</v>
      </c>
      <c r="P128" t="s">
        <v>1971</v>
      </c>
      <c r="Q128">
        <f t="shared" si="12"/>
        <v>2200</v>
      </c>
      <c r="R128" t="str">
        <f t="shared" si="13"/>
        <v>7.5KW</v>
      </c>
      <c r="S128" t="str">
        <f t="shared" si="14"/>
        <v>INCREMENTAL</v>
      </c>
      <c r="T128" t="str">
        <f t="shared" si="15"/>
        <v>RIGHT HINGE</v>
      </c>
      <c r="U128" t="str">
        <f t="shared" si="16"/>
        <v>MRLALL SUS-HL회생형22007.5KWINCREMENTALRIGHT HINGE</v>
      </c>
      <c r="V128" t="str">
        <f t="shared" si="17"/>
        <v>20410991G4500</v>
      </c>
      <c r="W128" t="str">
        <f t="shared" si="18"/>
        <v>WBSS-SE PWM</v>
      </c>
      <c r="X128" s="1" t="s">
        <v>1992</v>
      </c>
      <c r="Y128" s="1" t="s">
        <v>1993</v>
      </c>
      <c r="Z128" t="s">
        <v>1974</v>
      </c>
      <c r="AA128" t="s">
        <v>2146</v>
      </c>
    </row>
    <row r="129" spans="1:27">
      <c r="A129" s="5">
        <f t="shared" ca="1" si="10"/>
        <v>118</v>
      </c>
      <c r="B129" s="1" t="s">
        <v>2099</v>
      </c>
      <c r="C129" s="1" t="s">
        <v>746</v>
      </c>
      <c r="D129" s="1" t="s">
        <v>2191</v>
      </c>
      <c r="E129" s="1" t="s">
        <v>2145</v>
      </c>
      <c r="F129" s="1" t="s">
        <v>1970</v>
      </c>
      <c r="G129" s="1" t="s">
        <v>1016</v>
      </c>
      <c r="H129" s="1" t="s">
        <v>1955</v>
      </c>
      <c r="I129" s="30" t="s">
        <v>2005</v>
      </c>
      <c r="J129" s="1">
        <v>2200</v>
      </c>
      <c r="K129" s="1" t="s">
        <v>1853</v>
      </c>
      <c r="L129" s="6" t="str">
        <f t="shared" si="11"/>
        <v>PWM, 11KW, INCREMENTAL, ALL SUS, 2200, RIGHT HINGE</v>
      </c>
      <c r="N129" t="s">
        <v>99</v>
      </c>
      <c r="O129" t="s">
        <v>2006</v>
      </c>
      <c r="P129" t="s">
        <v>1971</v>
      </c>
      <c r="Q129">
        <f t="shared" si="12"/>
        <v>2200</v>
      </c>
      <c r="R129" t="str">
        <f t="shared" si="13"/>
        <v>11KW</v>
      </c>
      <c r="S129" t="str">
        <f t="shared" si="14"/>
        <v>INCREMENTAL</v>
      </c>
      <c r="T129" t="str">
        <f t="shared" si="15"/>
        <v>RIGHT HINGE</v>
      </c>
      <c r="U129" t="str">
        <f t="shared" si="16"/>
        <v>MRLALL SUS-HL회생형220011KWINCREMENTALRIGHT HINGE</v>
      </c>
      <c r="V129" t="str">
        <f t="shared" si="17"/>
        <v>20410991G4600</v>
      </c>
      <c r="W129" t="str">
        <f t="shared" si="18"/>
        <v>WBSS-SE PWM</v>
      </c>
      <c r="X129" s="1" t="s">
        <v>1995</v>
      </c>
      <c r="Y129" s="1" t="s">
        <v>1996</v>
      </c>
      <c r="Z129" t="s">
        <v>1979</v>
      </c>
      <c r="AA129" t="s">
        <v>2148</v>
      </c>
    </row>
    <row r="130" spans="1:27">
      <c r="A130" s="5">
        <f t="shared" ca="1" si="10"/>
        <v>119</v>
      </c>
      <c r="B130" s="1" t="s">
        <v>2099</v>
      </c>
      <c r="C130" s="1" t="s">
        <v>746</v>
      </c>
      <c r="D130" s="1" t="s">
        <v>2192</v>
      </c>
      <c r="E130" s="1" t="s">
        <v>2145</v>
      </c>
      <c r="F130" s="1" t="s">
        <v>1970</v>
      </c>
      <c r="G130" s="1" t="s">
        <v>1018</v>
      </c>
      <c r="H130" s="1" t="s">
        <v>1955</v>
      </c>
      <c r="I130" s="30" t="s">
        <v>2005</v>
      </c>
      <c r="J130" s="1">
        <v>2200</v>
      </c>
      <c r="K130" s="1" t="s">
        <v>1853</v>
      </c>
      <c r="L130" s="6" t="str">
        <f t="shared" si="11"/>
        <v>PWM, 15KW, INCREMENTAL, ALL SUS, 2200, RIGHT HINGE</v>
      </c>
      <c r="N130" t="s">
        <v>99</v>
      </c>
      <c r="O130" t="s">
        <v>2006</v>
      </c>
      <c r="P130" t="s">
        <v>1971</v>
      </c>
      <c r="Q130">
        <f t="shared" si="12"/>
        <v>2200</v>
      </c>
      <c r="R130" t="str">
        <f t="shared" si="13"/>
        <v>15KW</v>
      </c>
      <c r="S130" t="str">
        <f t="shared" si="14"/>
        <v>INCREMENTAL</v>
      </c>
      <c r="T130" t="str">
        <f t="shared" si="15"/>
        <v>RIGHT HINGE</v>
      </c>
      <c r="U130" t="str">
        <f t="shared" si="16"/>
        <v>MRLALL SUS-HL회생형220015KWINCREMENTALRIGHT HINGE</v>
      </c>
      <c r="V130" t="str">
        <f t="shared" si="17"/>
        <v>20410991G4700</v>
      </c>
      <c r="W130" t="str">
        <f t="shared" si="18"/>
        <v>WBSS-SE PWM</v>
      </c>
      <c r="X130" s="1" t="s">
        <v>1998</v>
      </c>
      <c r="Y130" s="1" t="s">
        <v>1999</v>
      </c>
      <c r="Z130" t="s">
        <v>1984</v>
      </c>
      <c r="AA130" t="s">
        <v>2150</v>
      </c>
    </row>
    <row r="131" spans="1:27">
      <c r="A131" s="5">
        <f t="shared" ca="1" si="10"/>
        <v>120</v>
      </c>
      <c r="B131" s="1" t="s">
        <v>2099</v>
      </c>
      <c r="C131" s="1" t="s">
        <v>746</v>
      </c>
      <c r="D131" s="1" t="s">
        <v>2193</v>
      </c>
      <c r="E131" s="1" t="s">
        <v>2152</v>
      </c>
      <c r="F131" s="1" t="s">
        <v>1970</v>
      </c>
      <c r="G131" s="1" t="s">
        <v>1020</v>
      </c>
      <c r="H131" s="1" t="s">
        <v>1955</v>
      </c>
      <c r="I131" s="30" t="s">
        <v>2005</v>
      </c>
      <c r="J131" s="1">
        <v>2200</v>
      </c>
      <c r="K131" s="1" t="s">
        <v>1853</v>
      </c>
      <c r="L131" s="6" t="str">
        <f t="shared" si="11"/>
        <v>PWM, 22KW, INCREMENTAL, ALL SUS, 2200, RIGHT HINGE</v>
      </c>
      <c r="N131" t="s">
        <v>99</v>
      </c>
      <c r="O131" t="s">
        <v>2006</v>
      </c>
      <c r="P131" t="s">
        <v>1971</v>
      </c>
      <c r="Q131">
        <f t="shared" si="12"/>
        <v>2200</v>
      </c>
      <c r="R131" t="str">
        <f t="shared" si="13"/>
        <v>22KW</v>
      </c>
      <c r="S131" t="str">
        <f t="shared" si="14"/>
        <v>INCREMENTAL</v>
      </c>
      <c r="T131" t="str">
        <f t="shared" si="15"/>
        <v>RIGHT HINGE</v>
      </c>
      <c r="U131" t="str">
        <f t="shared" si="16"/>
        <v>MRLALL SUS-HL회생형220022KWINCREMENTALRIGHT HINGE</v>
      </c>
      <c r="V131" t="str">
        <f t="shared" si="17"/>
        <v>20410991G4800</v>
      </c>
      <c r="W131" t="str">
        <f t="shared" si="18"/>
        <v>WBSS-SE PWM</v>
      </c>
      <c r="X131" s="1" t="s">
        <v>2001</v>
      </c>
      <c r="Y131" s="1" t="s">
        <v>2002</v>
      </c>
      <c r="Z131" t="s">
        <v>1989</v>
      </c>
      <c r="AA131" t="s">
        <v>2153</v>
      </c>
    </row>
    <row r="132" spans="1:27">
      <c r="A132" s="11">
        <f t="shared" ca="1" si="10"/>
        <v>121</v>
      </c>
      <c r="B132" s="24" t="s">
        <v>2099</v>
      </c>
      <c r="C132" s="24" t="s">
        <v>746</v>
      </c>
      <c r="D132" s="24" t="s">
        <v>2194</v>
      </c>
      <c r="E132" s="24" t="s">
        <v>2155</v>
      </c>
      <c r="F132" s="24" t="s">
        <v>1970</v>
      </c>
      <c r="G132" s="24" t="s">
        <v>1013</v>
      </c>
      <c r="H132" s="24" t="s">
        <v>1955</v>
      </c>
      <c r="I132" s="30" t="s">
        <v>2005</v>
      </c>
      <c r="J132" s="24">
        <v>2400</v>
      </c>
      <c r="K132" s="24" t="s">
        <v>1853</v>
      </c>
      <c r="L132" s="6" t="str">
        <f t="shared" si="11"/>
        <v>PWM, 7.5KW, INCREMENTAL, ALL SUS, 2400, RIGHT HINGE</v>
      </c>
      <c r="N132" t="s">
        <v>99</v>
      </c>
      <c r="O132" t="s">
        <v>2006</v>
      </c>
      <c r="P132" t="s">
        <v>1971</v>
      </c>
      <c r="Q132">
        <f t="shared" si="12"/>
        <v>2400</v>
      </c>
      <c r="R132" t="str">
        <f t="shared" si="13"/>
        <v>7.5KW</v>
      </c>
      <c r="S132" t="str">
        <f t="shared" si="14"/>
        <v>INCREMENTAL</v>
      </c>
      <c r="T132" t="str">
        <f t="shared" si="15"/>
        <v>RIGHT HINGE</v>
      </c>
      <c r="U132" t="str">
        <f t="shared" si="16"/>
        <v>MRLALL SUS-HL회생형24007.5KWINCREMENTALRIGHT HINGE</v>
      </c>
      <c r="V132" t="str">
        <f t="shared" si="17"/>
        <v>20410991G4900</v>
      </c>
      <c r="W132" t="str">
        <f t="shared" si="18"/>
        <v>WBSS-SE PWM</v>
      </c>
      <c r="X132" s="1" t="s">
        <v>1992</v>
      </c>
      <c r="Y132" s="1" t="s">
        <v>1993</v>
      </c>
      <c r="Z132" t="s">
        <v>1974</v>
      </c>
      <c r="AA132" t="s">
        <v>2156</v>
      </c>
    </row>
    <row r="133" spans="1:27">
      <c r="A133" s="11">
        <f t="shared" ca="1" si="10"/>
        <v>122</v>
      </c>
      <c r="B133" s="24" t="s">
        <v>2099</v>
      </c>
      <c r="C133" s="24" t="s">
        <v>746</v>
      </c>
      <c r="D133" s="24" t="s">
        <v>2195</v>
      </c>
      <c r="E133" s="24" t="s">
        <v>2155</v>
      </c>
      <c r="F133" s="24" t="s">
        <v>1970</v>
      </c>
      <c r="G133" s="24" t="s">
        <v>1016</v>
      </c>
      <c r="H133" s="24" t="s">
        <v>1955</v>
      </c>
      <c r="I133" s="30" t="s">
        <v>2005</v>
      </c>
      <c r="J133" s="24">
        <v>2400</v>
      </c>
      <c r="K133" s="24" t="s">
        <v>1853</v>
      </c>
      <c r="L133" s="6" t="str">
        <f t="shared" si="11"/>
        <v>PWM, 11KW, INCREMENTAL, ALL SUS, 2400, RIGHT HINGE</v>
      </c>
      <c r="N133" t="s">
        <v>99</v>
      </c>
      <c r="O133" t="s">
        <v>2006</v>
      </c>
      <c r="P133" t="s">
        <v>1971</v>
      </c>
      <c r="Q133">
        <f t="shared" si="12"/>
        <v>2400</v>
      </c>
      <c r="R133" t="str">
        <f t="shared" si="13"/>
        <v>11KW</v>
      </c>
      <c r="S133" t="str">
        <f t="shared" si="14"/>
        <v>INCREMENTAL</v>
      </c>
      <c r="T133" t="str">
        <f t="shared" si="15"/>
        <v>RIGHT HINGE</v>
      </c>
      <c r="U133" t="str">
        <f t="shared" si="16"/>
        <v>MRLALL SUS-HL회생형240011KWINCREMENTALRIGHT HINGE</v>
      </c>
      <c r="V133" t="str">
        <f t="shared" si="17"/>
        <v>20410991G5000</v>
      </c>
      <c r="W133" t="str">
        <f t="shared" si="18"/>
        <v>WBSS-SE PWM</v>
      </c>
      <c r="X133" s="1" t="s">
        <v>1995</v>
      </c>
      <c r="Y133" s="1" t="s">
        <v>1996</v>
      </c>
      <c r="Z133" t="s">
        <v>1979</v>
      </c>
      <c r="AA133" t="s">
        <v>2158</v>
      </c>
    </row>
    <row r="134" spans="1:27">
      <c r="A134" s="11">
        <f t="shared" ca="1" si="10"/>
        <v>123</v>
      </c>
      <c r="B134" s="24" t="s">
        <v>2099</v>
      </c>
      <c r="C134" s="24" t="s">
        <v>746</v>
      </c>
      <c r="D134" s="24" t="s">
        <v>2196</v>
      </c>
      <c r="E134" s="24" t="s">
        <v>2155</v>
      </c>
      <c r="F134" s="24" t="s">
        <v>1970</v>
      </c>
      <c r="G134" s="24" t="s">
        <v>1018</v>
      </c>
      <c r="H134" s="24" t="s">
        <v>1955</v>
      </c>
      <c r="I134" s="30" t="s">
        <v>2005</v>
      </c>
      <c r="J134" s="24">
        <v>2400</v>
      </c>
      <c r="K134" s="24" t="s">
        <v>1853</v>
      </c>
      <c r="L134" s="6" t="str">
        <f t="shared" si="11"/>
        <v>PWM, 15KW, INCREMENTAL, ALL SUS, 2400, RIGHT HINGE</v>
      </c>
      <c r="N134" t="s">
        <v>99</v>
      </c>
      <c r="O134" t="s">
        <v>2006</v>
      </c>
      <c r="P134" t="s">
        <v>1971</v>
      </c>
      <c r="Q134">
        <f t="shared" si="12"/>
        <v>2400</v>
      </c>
      <c r="R134" t="str">
        <f t="shared" si="13"/>
        <v>15KW</v>
      </c>
      <c r="S134" t="str">
        <f t="shared" si="14"/>
        <v>INCREMENTAL</v>
      </c>
      <c r="T134" t="str">
        <f t="shared" si="15"/>
        <v>RIGHT HINGE</v>
      </c>
      <c r="U134" t="str">
        <f t="shared" si="16"/>
        <v>MRLALL SUS-HL회생형240015KWINCREMENTALRIGHT HINGE</v>
      </c>
      <c r="V134" t="str">
        <f t="shared" si="17"/>
        <v>20410991G5100</v>
      </c>
      <c r="W134" t="str">
        <f t="shared" si="18"/>
        <v>WBSS-SE PWM</v>
      </c>
      <c r="X134" s="1" t="s">
        <v>1998</v>
      </c>
      <c r="Y134" s="1" t="s">
        <v>1999</v>
      </c>
      <c r="Z134" t="s">
        <v>1984</v>
      </c>
      <c r="AA134" t="s">
        <v>2160</v>
      </c>
    </row>
    <row r="135" spans="1:27">
      <c r="A135" s="11">
        <f t="shared" ca="1" si="10"/>
        <v>124</v>
      </c>
      <c r="B135" s="24" t="s">
        <v>2099</v>
      </c>
      <c r="C135" s="24" t="s">
        <v>746</v>
      </c>
      <c r="D135" s="24" t="s">
        <v>2197</v>
      </c>
      <c r="E135" s="24" t="s">
        <v>2162</v>
      </c>
      <c r="F135" s="24" t="s">
        <v>1970</v>
      </c>
      <c r="G135" s="24" t="s">
        <v>1020</v>
      </c>
      <c r="H135" s="24" t="s">
        <v>1955</v>
      </c>
      <c r="I135" s="30" t="s">
        <v>2005</v>
      </c>
      <c r="J135" s="24">
        <v>2400</v>
      </c>
      <c r="K135" s="24" t="s">
        <v>1853</v>
      </c>
      <c r="L135" s="6" t="str">
        <f t="shared" si="11"/>
        <v>PWM, 22KW, INCREMENTAL, ALL SUS, 2400, RIGHT HINGE</v>
      </c>
      <c r="N135" t="s">
        <v>99</v>
      </c>
      <c r="O135" t="s">
        <v>2006</v>
      </c>
      <c r="P135" t="s">
        <v>1971</v>
      </c>
      <c r="Q135">
        <f t="shared" si="12"/>
        <v>2400</v>
      </c>
      <c r="R135" t="str">
        <f t="shared" si="13"/>
        <v>22KW</v>
      </c>
      <c r="S135" t="str">
        <f t="shared" si="14"/>
        <v>INCREMENTAL</v>
      </c>
      <c r="T135" t="str">
        <f t="shared" si="15"/>
        <v>RIGHT HINGE</v>
      </c>
      <c r="U135" t="str">
        <f t="shared" si="16"/>
        <v>MRLALL SUS-HL회생형240022KWINCREMENTALRIGHT HINGE</v>
      </c>
      <c r="V135" t="str">
        <f t="shared" si="17"/>
        <v>20410991G5200</v>
      </c>
      <c r="W135" t="str">
        <f t="shared" si="18"/>
        <v>WBSS-SE PWM</v>
      </c>
      <c r="X135" s="1" t="s">
        <v>2001</v>
      </c>
      <c r="Y135" s="1" t="s">
        <v>2002</v>
      </c>
      <c r="Z135" t="s">
        <v>1989</v>
      </c>
      <c r="AA135" t="s">
        <v>2163</v>
      </c>
    </row>
    <row r="136" spans="1:27">
      <c r="A136" s="5">
        <f t="shared" ca="1" si="10"/>
        <v>125</v>
      </c>
      <c r="B136" s="1" t="s">
        <v>2099</v>
      </c>
      <c r="C136" s="1" t="s">
        <v>746</v>
      </c>
      <c r="D136" s="1" t="s">
        <v>2198</v>
      </c>
      <c r="E136" s="1" t="s">
        <v>2165</v>
      </c>
      <c r="F136" s="1" t="s">
        <v>1970</v>
      </c>
      <c r="G136" s="1" t="s">
        <v>1013</v>
      </c>
      <c r="H136" s="1" t="s">
        <v>1955</v>
      </c>
      <c r="I136" s="1"/>
      <c r="K136" s="1" t="s">
        <v>2061</v>
      </c>
      <c r="L136" s="6" t="str">
        <f t="shared" si="11"/>
        <v>PWM, 7.5KW, INCREMENTAL, , , HOIST TYPE</v>
      </c>
      <c r="N136" t="s">
        <v>99</v>
      </c>
      <c r="P136" t="s">
        <v>1971</v>
      </c>
      <c r="R136" t="str">
        <f t="shared" si="13"/>
        <v>7.5KW</v>
      </c>
      <c r="S136" t="str">
        <f t="shared" si="14"/>
        <v>INCREMENTAL</v>
      </c>
      <c r="T136" t="str">
        <f t="shared" si="15"/>
        <v>HOIST TYPE</v>
      </c>
      <c r="U136" t="str">
        <f t="shared" si="16"/>
        <v>MRL회생형7.5KWINCREMENTALHOIST TYPE</v>
      </c>
      <c r="V136" t="str">
        <f t="shared" si="17"/>
        <v>20410991G5300</v>
      </c>
      <c r="W136" t="str">
        <f t="shared" si="18"/>
        <v>WBSS-SE PWM</v>
      </c>
      <c r="X136" s="1" t="s">
        <v>1992</v>
      </c>
      <c r="Y136" s="1" t="s">
        <v>1993</v>
      </c>
      <c r="Z136" t="s">
        <v>1974</v>
      </c>
      <c r="AA136" t="s">
        <v>2166</v>
      </c>
    </row>
    <row r="137" spans="1:27">
      <c r="A137" s="5">
        <f t="shared" ca="1" si="10"/>
        <v>126</v>
      </c>
      <c r="B137" s="1" t="s">
        <v>2099</v>
      </c>
      <c r="C137" s="1" t="s">
        <v>746</v>
      </c>
      <c r="D137" s="1" t="s">
        <v>2199</v>
      </c>
      <c r="E137" s="1" t="s">
        <v>2165</v>
      </c>
      <c r="F137" s="1" t="s">
        <v>1970</v>
      </c>
      <c r="G137" s="1" t="s">
        <v>1016</v>
      </c>
      <c r="H137" s="1" t="s">
        <v>1955</v>
      </c>
      <c r="I137" s="1"/>
      <c r="K137" s="1" t="s">
        <v>2061</v>
      </c>
      <c r="L137" s="6" t="str">
        <f t="shared" si="11"/>
        <v>PWM, 11KW, INCREMENTAL, , , HOIST TYPE</v>
      </c>
      <c r="N137" t="s">
        <v>99</v>
      </c>
      <c r="P137" t="s">
        <v>1971</v>
      </c>
      <c r="R137" t="str">
        <f t="shared" si="13"/>
        <v>11KW</v>
      </c>
      <c r="S137" t="str">
        <f t="shared" si="14"/>
        <v>INCREMENTAL</v>
      </c>
      <c r="T137" t="str">
        <f t="shared" si="15"/>
        <v>HOIST TYPE</v>
      </c>
      <c r="U137" t="str">
        <f t="shared" si="16"/>
        <v>MRL회생형11KWINCREMENTALHOIST TYPE</v>
      </c>
      <c r="V137" t="str">
        <f t="shared" si="17"/>
        <v>20410991G5400</v>
      </c>
      <c r="W137" t="str">
        <f t="shared" si="18"/>
        <v>WBSS-SE PWM</v>
      </c>
      <c r="X137" s="1" t="s">
        <v>1995</v>
      </c>
      <c r="Y137" s="1" t="s">
        <v>1996</v>
      </c>
      <c r="Z137" t="s">
        <v>1979</v>
      </c>
      <c r="AA137" t="s">
        <v>2168</v>
      </c>
    </row>
    <row r="138" spans="1:27">
      <c r="A138" s="5">
        <f t="shared" ca="1" si="10"/>
        <v>127</v>
      </c>
      <c r="B138" s="1" t="s">
        <v>2099</v>
      </c>
      <c r="C138" s="1" t="s">
        <v>746</v>
      </c>
      <c r="D138" s="1" t="s">
        <v>2200</v>
      </c>
      <c r="E138" s="1" t="s">
        <v>2165</v>
      </c>
      <c r="F138" s="1" t="s">
        <v>1970</v>
      </c>
      <c r="G138" s="1" t="s">
        <v>1018</v>
      </c>
      <c r="H138" s="1" t="s">
        <v>1955</v>
      </c>
      <c r="I138" s="1"/>
      <c r="K138" s="1" t="s">
        <v>2061</v>
      </c>
      <c r="L138" s="6" t="str">
        <f t="shared" si="11"/>
        <v>PWM, 15KW, INCREMENTAL, , , HOIST TYPE</v>
      </c>
      <c r="N138" t="s">
        <v>99</v>
      </c>
      <c r="P138" t="s">
        <v>1971</v>
      </c>
      <c r="R138" t="str">
        <f t="shared" si="13"/>
        <v>15KW</v>
      </c>
      <c r="S138" t="str">
        <f t="shared" si="14"/>
        <v>INCREMENTAL</v>
      </c>
      <c r="T138" t="str">
        <f t="shared" si="15"/>
        <v>HOIST TYPE</v>
      </c>
      <c r="U138" t="str">
        <f t="shared" si="16"/>
        <v>MRL회생형15KWINCREMENTALHOIST TYPE</v>
      </c>
      <c r="V138" t="str">
        <f t="shared" si="17"/>
        <v>20410991G5500</v>
      </c>
      <c r="W138" t="str">
        <f t="shared" si="18"/>
        <v>WBSS-SE PWM</v>
      </c>
      <c r="X138" s="1" t="s">
        <v>1998</v>
      </c>
      <c r="Y138" s="1" t="s">
        <v>1999</v>
      </c>
      <c r="Z138" t="s">
        <v>1984</v>
      </c>
      <c r="AA138" t="s">
        <v>2170</v>
      </c>
    </row>
    <row r="139" spans="1:27">
      <c r="A139" s="7">
        <f t="shared" ca="1" si="10"/>
        <v>128</v>
      </c>
      <c r="B139" s="23" t="s">
        <v>2099</v>
      </c>
      <c r="C139" s="23" t="s">
        <v>746</v>
      </c>
      <c r="D139" s="23" t="s">
        <v>2201</v>
      </c>
      <c r="E139" s="23" t="s">
        <v>2172</v>
      </c>
      <c r="F139" s="23" t="s">
        <v>1970</v>
      </c>
      <c r="G139" s="23" t="s">
        <v>1020</v>
      </c>
      <c r="H139" s="23" t="s">
        <v>1955</v>
      </c>
      <c r="I139" s="23"/>
      <c r="K139" s="23" t="s">
        <v>2061</v>
      </c>
      <c r="L139" s="6" t="str">
        <f t="shared" si="11"/>
        <v>PWM, 22KW, INCREMENTAL, , , HOIST TYPE</v>
      </c>
      <c r="N139" t="s">
        <v>99</v>
      </c>
      <c r="P139" t="s">
        <v>1971</v>
      </c>
      <c r="R139" t="str">
        <f t="shared" si="13"/>
        <v>22KW</v>
      </c>
      <c r="S139" t="str">
        <f t="shared" si="14"/>
        <v>INCREMENTAL</v>
      </c>
      <c r="T139" t="str">
        <f t="shared" si="15"/>
        <v>HOIST TYPE</v>
      </c>
      <c r="U139" t="str">
        <f t="shared" si="16"/>
        <v>MRL회생형22KWINCREMENTALHOIST TYPE</v>
      </c>
      <c r="V139" t="str">
        <f t="shared" si="17"/>
        <v>20410991G5600</v>
      </c>
      <c r="W139" t="str">
        <f t="shared" si="18"/>
        <v>WBSS-SE PWM</v>
      </c>
      <c r="X139" s="1" t="s">
        <v>2001</v>
      </c>
      <c r="Y139" s="1" t="s">
        <v>2002</v>
      </c>
      <c r="Z139" t="s">
        <v>1989</v>
      </c>
      <c r="AA139" t="s">
        <v>2173</v>
      </c>
    </row>
    <row r="140" spans="1:27">
      <c r="A140" s="32">
        <f t="shared" ref="A140:A203" ca="1" si="19">OFFSET(A140,-1,)+1</f>
        <v>129</v>
      </c>
      <c r="B140" s="29" t="s">
        <v>1931</v>
      </c>
      <c r="C140" s="29" t="s">
        <v>746</v>
      </c>
      <c r="D140" s="29" t="s">
        <v>2202</v>
      </c>
      <c r="E140" s="29"/>
      <c r="F140" s="29" t="s">
        <v>1933</v>
      </c>
      <c r="G140" s="29" t="s">
        <v>1013</v>
      </c>
      <c r="H140" s="29" t="s">
        <v>1934</v>
      </c>
      <c r="I140" s="29" t="s">
        <v>1849</v>
      </c>
      <c r="J140" s="44"/>
      <c r="K140" s="44"/>
      <c r="L140" s="6" t="str">
        <f t="shared" si="11"/>
        <v xml:space="preserve">일반, 7.5KW, SINCOS, GI, , </v>
      </c>
      <c r="N140" t="s">
        <v>67</v>
      </c>
      <c r="O140" t="str">
        <f t="shared" ref="O140" si="20">I140</f>
        <v>GI</v>
      </c>
      <c r="P140" t="s">
        <v>77</v>
      </c>
      <c r="R140" t="str">
        <f t="shared" si="13"/>
        <v>7.5KW</v>
      </c>
      <c r="S140" t="str">
        <f t="shared" si="14"/>
        <v>SINCOS</v>
      </c>
      <c r="U140" t="str">
        <f t="shared" si="16"/>
        <v>MRGI일반형7.5KWSINCOS</v>
      </c>
      <c r="V140" t="str">
        <f t="shared" si="17"/>
        <v>20411101G0100</v>
      </c>
      <c r="W140" t="str">
        <f t="shared" si="18"/>
        <v>WBLX-SE 일반형 (ELD일체형)</v>
      </c>
      <c r="X140" t="s">
        <v>1935</v>
      </c>
      <c r="Y140" s="1" t="s">
        <v>1936</v>
      </c>
      <c r="Z140" t="s">
        <v>1937</v>
      </c>
      <c r="AA140" t="s">
        <v>2203</v>
      </c>
    </row>
    <row r="141" spans="1:27">
      <c r="A141" s="32">
        <f t="shared" ca="1" si="19"/>
        <v>130</v>
      </c>
      <c r="B141" s="30" t="s">
        <v>1931</v>
      </c>
      <c r="C141" s="30" t="s">
        <v>746</v>
      </c>
      <c r="D141" s="30" t="s">
        <v>2204</v>
      </c>
      <c r="E141" s="30"/>
      <c r="F141" s="30" t="s">
        <v>1933</v>
      </c>
      <c r="G141" s="30" t="s">
        <v>1016</v>
      </c>
      <c r="H141" s="30" t="s">
        <v>1934</v>
      </c>
      <c r="I141" s="30" t="s">
        <v>1849</v>
      </c>
      <c r="J141" s="45"/>
      <c r="K141" s="45"/>
      <c r="L141" s="6" t="str">
        <f t="shared" ref="L141:L204" si="21">F141&amp;", "&amp;G141&amp;", "&amp;H141&amp;", "&amp;I141&amp;", "&amp;J141&amp;", "&amp;K141</f>
        <v xml:space="preserve">일반, 11KW, SINCOS, GI, , </v>
      </c>
      <c r="N141" t="s">
        <v>67</v>
      </c>
      <c r="O141" t="str">
        <f t="shared" ref="O141:O155" si="22">I141</f>
        <v>GI</v>
      </c>
      <c r="P141" t="s">
        <v>77</v>
      </c>
      <c r="R141" t="str">
        <f t="shared" ref="R141:R204" si="23">G141</f>
        <v>11KW</v>
      </c>
      <c r="S141" t="str">
        <f t="shared" ref="S141:S204" si="24">H141</f>
        <v>SINCOS</v>
      </c>
      <c r="U141" t="str">
        <f t="shared" ref="U141:U204" si="25">N141&amp;O141&amp;P141&amp;Q141&amp;R141&amp;S141&amp;T141</f>
        <v>MRGI일반형11KWSINCOS</v>
      </c>
      <c r="V141" t="str">
        <f t="shared" ref="V141:V204" si="26">D141</f>
        <v>20411101G0200</v>
      </c>
      <c r="W141" t="str">
        <f t="shared" ref="W141:W204" si="27">B141</f>
        <v>WBLX-SE 일반형 (ELD일체형)</v>
      </c>
      <c r="X141" t="s">
        <v>1940</v>
      </c>
      <c r="Y141" s="1" t="s">
        <v>1941</v>
      </c>
      <c r="Z141" t="s">
        <v>1942</v>
      </c>
      <c r="AA141" t="s">
        <v>2205</v>
      </c>
    </row>
    <row r="142" spans="1:27">
      <c r="A142" s="32">
        <f t="shared" ca="1" si="19"/>
        <v>131</v>
      </c>
      <c r="B142" s="30" t="s">
        <v>1931</v>
      </c>
      <c r="C142" s="30" t="s">
        <v>746</v>
      </c>
      <c r="D142" s="30" t="s">
        <v>2206</v>
      </c>
      <c r="E142" s="30"/>
      <c r="F142" s="30" t="s">
        <v>1933</v>
      </c>
      <c r="G142" s="30" t="s">
        <v>1018</v>
      </c>
      <c r="H142" s="30" t="s">
        <v>1934</v>
      </c>
      <c r="I142" s="30" t="s">
        <v>1849</v>
      </c>
      <c r="J142" s="45"/>
      <c r="K142" s="45"/>
      <c r="L142" s="6" t="str">
        <f t="shared" si="21"/>
        <v xml:space="preserve">일반, 15KW, SINCOS, GI, , </v>
      </c>
      <c r="N142" t="s">
        <v>67</v>
      </c>
      <c r="O142" t="str">
        <f t="shared" si="22"/>
        <v>GI</v>
      </c>
      <c r="P142" t="s">
        <v>77</v>
      </c>
      <c r="R142" t="str">
        <f t="shared" si="23"/>
        <v>15KW</v>
      </c>
      <c r="S142" t="str">
        <f t="shared" si="24"/>
        <v>SINCOS</v>
      </c>
      <c r="U142" t="str">
        <f t="shared" si="25"/>
        <v>MRGI일반형15KWSINCOS</v>
      </c>
      <c r="V142" t="str">
        <f t="shared" si="26"/>
        <v>20411101G0300</v>
      </c>
      <c r="W142" t="str">
        <f t="shared" si="27"/>
        <v>WBLX-SE 일반형 (ELD일체형)</v>
      </c>
      <c r="X142" t="s">
        <v>1945</v>
      </c>
      <c r="Y142" s="1" t="s">
        <v>1946</v>
      </c>
      <c r="Z142" t="s">
        <v>1947</v>
      </c>
      <c r="AA142" t="s">
        <v>2207</v>
      </c>
    </row>
    <row r="143" spans="1:27">
      <c r="A143" s="32">
        <f t="shared" ca="1" si="19"/>
        <v>132</v>
      </c>
      <c r="B143" s="30" t="s">
        <v>1931</v>
      </c>
      <c r="C143" s="30" t="s">
        <v>746</v>
      </c>
      <c r="D143" s="30" t="s">
        <v>2208</v>
      </c>
      <c r="E143" s="30"/>
      <c r="F143" s="30" t="s">
        <v>1933</v>
      </c>
      <c r="G143" s="30" t="s">
        <v>1020</v>
      </c>
      <c r="H143" s="30" t="s">
        <v>1934</v>
      </c>
      <c r="I143" s="30" t="s">
        <v>1849</v>
      </c>
      <c r="J143" s="45"/>
      <c r="K143" s="45"/>
      <c r="L143" s="6" t="str">
        <f t="shared" si="21"/>
        <v xml:space="preserve">일반, 22KW, SINCOS, GI, , </v>
      </c>
      <c r="N143" t="s">
        <v>67</v>
      </c>
      <c r="O143" t="str">
        <f t="shared" si="22"/>
        <v>GI</v>
      </c>
      <c r="P143" t="s">
        <v>77</v>
      </c>
      <c r="R143" t="str">
        <f t="shared" si="23"/>
        <v>22KW</v>
      </c>
      <c r="S143" t="str">
        <f t="shared" si="24"/>
        <v>SINCOS</v>
      </c>
      <c r="U143" t="str">
        <f t="shared" si="25"/>
        <v>MRGI일반형22KWSINCOS</v>
      </c>
      <c r="V143" t="str">
        <f t="shared" si="26"/>
        <v>20411101G0400</v>
      </c>
      <c r="W143" t="str">
        <f t="shared" si="27"/>
        <v>WBLX-SE 일반형 (ELD일체형)</v>
      </c>
      <c r="X143" t="s">
        <v>1950</v>
      </c>
      <c r="Y143" s="1" t="s">
        <v>1951</v>
      </c>
      <c r="Z143" t="s">
        <v>1952</v>
      </c>
      <c r="AA143" t="s">
        <v>2209</v>
      </c>
    </row>
    <row r="144" spans="1:27">
      <c r="A144" s="32">
        <f t="shared" ca="1" si="19"/>
        <v>133</v>
      </c>
      <c r="B144" s="30" t="s">
        <v>1931</v>
      </c>
      <c r="C144" s="30" t="s">
        <v>746</v>
      </c>
      <c r="D144" s="30" t="s">
        <v>2210</v>
      </c>
      <c r="E144" s="30"/>
      <c r="F144" s="30" t="s">
        <v>1933</v>
      </c>
      <c r="G144" s="30" t="s">
        <v>1013</v>
      </c>
      <c r="H144" s="30" t="s">
        <v>1955</v>
      </c>
      <c r="I144" s="30" t="s">
        <v>1849</v>
      </c>
      <c r="J144" s="45"/>
      <c r="K144" s="45"/>
      <c r="L144" s="6" t="str">
        <f t="shared" si="21"/>
        <v xml:space="preserve">일반, 7.5KW, INCREMENTAL, GI, , </v>
      </c>
      <c r="N144" t="s">
        <v>67</v>
      </c>
      <c r="O144" t="str">
        <f t="shared" si="22"/>
        <v>GI</v>
      </c>
      <c r="P144" t="s">
        <v>77</v>
      </c>
      <c r="R144" t="str">
        <f t="shared" si="23"/>
        <v>7.5KW</v>
      </c>
      <c r="S144" t="str">
        <f t="shared" si="24"/>
        <v>INCREMENTAL</v>
      </c>
      <c r="U144" t="str">
        <f t="shared" si="25"/>
        <v>MRGI일반형7.5KWINCREMENTAL</v>
      </c>
      <c r="V144" t="str">
        <f t="shared" si="26"/>
        <v>20411101G0600</v>
      </c>
      <c r="W144" t="str">
        <f t="shared" si="27"/>
        <v>WBLX-SE 일반형 (ELD일체형)</v>
      </c>
      <c r="X144" t="s">
        <v>1956</v>
      </c>
      <c r="Y144" s="1" t="s">
        <v>1957</v>
      </c>
      <c r="Z144" t="s">
        <v>1937</v>
      </c>
      <c r="AA144" t="s">
        <v>2203</v>
      </c>
    </row>
    <row r="145" spans="1:27">
      <c r="A145" s="32">
        <f t="shared" ca="1" si="19"/>
        <v>134</v>
      </c>
      <c r="B145" s="30" t="s">
        <v>1931</v>
      </c>
      <c r="C145" s="30" t="s">
        <v>746</v>
      </c>
      <c r="D145" s="30" t="s">
        <v>2211</v>
      </c>
      <c r="E145" s="30"/>
      <c r="F145" s="30" t="s">
        <v>1933</v>
      </c>
      <c r="G145" s="30" t="s">
        <v>1016</v>
      </c>
      <c r="H145" s="30" t="s">
        <v>1955</v>
      </c>
      <c r="I145" s="30" t="s">
        <v>1849</v>
      </c>
      <c r="J145" s="45"/>
      <c r="K145" s="45"/>
      <c r="L145" s="6" t="str">
        <f t="shared" si="21"/>
        <v xml:space="preserve">일반, 11KW, INCREMENTAL, GI, , </v>
      </c>
      <c r="N145" t="s">
        <v>67</v>
      </c>
      <c r="O145" t="str">
        <f t="shared" si="22"/>
        <v>GI</v>
      </c>
      <c r="P145" t="s">
        <v>77</v>
      </c>
      <c r="R145" t="str">
        <f t="shared" si="23"/>
        <v>11KW</v>
      </c>
      <c r="S145" t="str">
        <f t="shared" si="24"/>
        <v>INCREMENTAL</v>
      </c>
      <c r="U145" t="str">
        <f t="shared" si="25"/>
        <v>MRGI일반형11KWINCREMENTAL</v>
      </c>
      <c r="V145" t="str">
        <f t="shared" si="26"/>
        <v>20411101G0700</v>
      </c>
      <c r="W145" t="str">
        <f t="shared" si="27"/>
        <v>WBLX-SE 일반형 (ELD일체형)</v>
      </c>
      <c r="X145" t="s">
        <v>1959</v>
      </c>
      <c r="Y145" s="1" t="s">
        <v>1960</v>
      </c>
      <c r="Z145" t="s">
        <v>1942</v>
      </c>
      <c r="AA145" t="s">
        <v>2205</v>
      </c>
    </row>
    <row r="146" spans="1:27">
      <c r="A146" s="32">
        <f t="shared" ca="1" si="19"/>
        <v>135</v>
      </c>
      <c r="B146" s="30" t="s">
        <v>1931</v>
      </c>
      <c r="C146" s="30" t="s">
        <v>746</v>
      </c>
      <c r="D146" s="30" t="s">
        <v>2212</v>
      </c>
      <c r="E146" s="30"/>
      <c r="F146" s="30" t="s">
        <v>1933</v>
      </c>
      <c r="G146" s="30" t="s">
        <v>1018</v>
      </c>
      <c r="H146" s="30" t="s">
        <v>1955</v>
      </c>
      <c r="I146" s="30" t="s">
        <v>1849</v>
      </c>
      <c r="J146" s="45"/>
      <c r="K146" s="45"/>
      <c r="L146" s="6" t="str">
        <f t="shared" si="21"/>
        <v xml:space="preserve">일반, 15KW, INCREMENTAL, GI, , </v>
      </c>
      <c r="N146" t="s">
        <v>67</v>
      </c>
      <c r="O146" t="str">
        <f t="shared" si="22"/>
        <v>GI</v>
      </c>
      <c r="P146" t="s">
        <v>77</v>
      </c>
      <c r="R146" t="str">
        <f t="shared" si="23"/>
        <v>15KW</v>
      </c>
      <c r="S146" t="str">
        <f t="shared" si="24"/>
        <v>INCREMENTAL</v>
      </c>
      <c r="U146" t="str">
        <f t="shared" si="25"/>
        <v>MRGI일반형15KWINCREMENTAL</v>
      </c>
      <c r="V146" t="str">
        <f t="shared" si="26"/>
        <v>20411101G0800</v>
      </c>
      <c r="W146" t="str">
        <f t="shared" si="27"/>
        <v>WBLX-SE 일반형 (ELD일체형)</v>
      </c>
      <c r="X146" t="s">
        <v>1963</v>
      </c>
      <c r="Y146" s="1" t="s">
        <v>1964</v>
      </c>
      <c r="Z146" t="s">
        <v>1947</v>
      </c>
      <c r="AA146" t="s">
        <v>2207</v>
      </c>
    </row>
    <row r="147" spans="1:27">
      <c r="A147" s="33">
        <f t="shared" ca="1" si="19"/>
        <v>136</v>
      </c>
      <c r="B147" s="31" t="s">
        <v>1931</v>
      </c>
      <c r="C147" s="31" t="s">
        <v>746</v>
      </c>
      <c r="D147" s="31" t="s">
        <v>2213</v>
      </c>
      <c r="E147" s="31"/>
      <c r="F147" s="31" t="s">
        <v>1933</v>
      </c>
      <c r="G147" s="31" t="s">
        <v>1020</v>
      </c>
      <c r="H147" s="31" t="s">
        <v>1955</v>
      </c>
      <c r="I147" s="31" t="s">
        <v>1849</v>
      </c>
      <c r="J147" s="46"/>
      <c r="K147" s="46"/>
      <c r="L147" s="6" t="str">
        <f t="shared" si="21"/>
        <v xml:space="preserve">일반, 22KW, INCREMENTAL, GI, , </v>
      </c>
      <c r="N147" t="s">
        <v>67</v>
      </c>
      <c r="O147" t="str">
        <f t="shared" si="22"/>
        <v>GI</v>
      </c>
      <c r="P147" t="s">
        <v>77</v>
      </c>
      <c r="R147" t="str">
        <f t="shared" si="23"/>
        <v>22KW</v>
      </c>
      <c r="S147" t="str">
        <f t="shared" si="24"/>
        <v>INCREMENTAL</v>
      </c>
      <c r="U147" t="str">
        <f t="shared" si="25"/>
        <v>MRGI일반형22KWINCREMENTAL</v>
      </c>
      <c r="V147" t="str">
        <f t="shared" si="26"/>
        <v>20411101G0900</v>
      </c>
      <c r="W147" t="str">
        <f t="shared" si="27"/>
        <v>WBLX-SE 일반형 (ELD일체형)</v>
      </c>
      <c r="X147" t="s">
        <v>1966</v>
      </c>
      <c r="Y147" s="1" t="s">
        <v>1967</v>
      </c>
      <c r="Z147" t="s">
        <v>1952</v>
      </c>
      <c r="AA147" t="s">
        <v>2209</v>
      </c>
    </row>
    <row r="148" spans="1:27">
      <c r="A148" s="34">
        <f t="shared" ca="1" si="19"/>
        <v>137</v>
      </c>
      <c r="B148" s="29" t="s">
        <v>1968</v>
      </c>
      <c r="C148" s="29" t="s">
        <v>746</v>
      </c>
      <c r="D148" s="29" t="s">
        <v>2214</v>
      </c>
      <c r="E148" s="29"/>
      <c r="F148" s="29" t="s">
        <v>1970</v>
      </c>
      <c r="G148" s="29" t="s">
        <v>1013</v>
      </c>
      <c r="H148" s="29" t="s">
        <v>1934</v>
      </c>
      <c r="I148" s="29" t="s">
        <v>1849</v>
      </c>
      <c r="J148" s="44"/>
      <c r="K148" s="44"/>
      <c r="L148" s="6" t="str">
        <f t="shared" si="21"/>
        <v xml:space="preserve">PWM, 7.5KW, SINCOS, GI, , </v>
      </c>
      <c r="N148" t="s">
        <v>67</v>
      </c>
      <c r="O148" t="str">
        <f t="shared" si="22"/>
        <v>GI</v>
      </c>
      <c r="P148" t="s">
        <v>1971</v>
      </c>
      <c r="R148" t="str">
        <f t="shared" si="23"/>
        <v>7.5KW</v>
      </c>
      <c r="S148" t="str">
        <f t="shared" si="24"/>
        <v>SINCOS</v>
      </c>
      <c r="U148" t="str">
        <f t="shared" si="25"/>
        <v>MRGI회생형7.5KWSINCOS</v>
      </c>
      <c r="V148" t="str">
        <f t="shared" si="26"/>
        <v>20411103G0100</v>
      </c>
      <c r="W148" t="str">
        <f t="shared" si="27"/>
        <v>WBLX-SE PWM (ELD일체형)</v>
      </c>
      <c r="X148" s="1" t="s">
        <v>2112</v>
      </c>
      <c r="Y148" s="1" t="s">
        <v>1973</v>
      </c>
      <c r="Z148" t="s">
        <v>1974</v>
      </c>
      <c r="AA148" t="s">
        <v>2215</v>
      </c>
    </row>
    <row r="149" spans="1:27">
      <c r="A149" s="32">
        <f t="shared" ca="1" si="19"/>
        <v>138</v>
      </c>
      <c r="B149" s="30" t="s">
        <v>1968</v>
      </c>
      <c r="C149" s="30" t="s">
        <v>746</v>
      </c>
      <c r="D149" s="30" t="s">
        <v>2216</v>
      </c>
      <c r="E149" s="30"/>
      <c r="F149" s="30" t="s">
        <v>1970</v>
      </c>
      <c r="G149" s="30" t="s">
        <v>1016</v>
      </c>
      <c r="H149" s="30" t="s">
        <v>1934</v>
      </c>
      <c r="I149" s="30" t="s">
        <v>1849</v>
      </c>
      <c r="J149" s="45"/>
      <c r="K149" s="45"/>
      <c r="L149" s="6" t="str">
        <f t="shared" si="21"/>
        <v xml:space="preserve">PWM, 11KW, SINCOS, GI, , </v>
      </c>
      <c r="N149" t="s">
        <v>67</v>
      </c>
      <c r="O149" t="str">
        <f t="shared" si="22"/>
        <v>GI</v>
      </c>
      <c r="P149" t="s">
        <v>1971</v>
      </c>
      <c r="R149" t="str">
        <f t="shared" si="23"/>
        <v>11KW</v>
      </c>
      <c r="S149" t="str">
        <f t="shared" si="24"/>
        <v>SINCOS</v>
      </c>
      <c r="U149" t="str">
        <f t="shared" si="25"/>
        <v>MRGI회생형11KWSINCOS</v>
      </c>
      <c r="V149" t="str">
        <f t="shared" si="26"/>
        <v>20411103G0200</v>
      </c>
      <c r="W149" t="str">
        <f t="shared" si="27"/>
        <v>WBLX-SE PWM (ELD일체형)</v>
      </c>
      <c r="X149" s="1" t="s">
        <v>2115</v>
      </c>
      <c r="Y149" s="1" t="s">
        <v>1978</v>
      </c>
      <c r="Z149" t="s">
        <v>1979</v>
      </c>
      <c r="AA149" t="s">
        <v>2217</v>
      </c>
    </row>
    <row r="150" spans="1:27">
      <c r="A150" s="32">
        <f t="shared" ca="1" si="19"/>
        <v>139</v>
      </c>
      <c r="B150" s="30" t="s">
        <v>1968</v>
      </c>
      <c r="C150" s="30" t="s">
        <v>746</v>
      </c>
      <c r="D150" s="30" t="s">
        <v>2218</v>
      </c>
      <c r="E150" s="30"/>
      <c r="F150" s="30" t="s">
        <v>1970</v>
      </c>
      <c r="G150" s="30" t="s">
        <v>1018</v>
      </c>
      <c r="H150" s="30" t="s">
        <v>1934</v>
      </c>
      <c r="I150" s="30" t="s">
        <v>1849</v>
      </c>
      <c r="J150" s="45"/>
      <c r="K150" s="45"/>
      <c r="L150" s="6" t="str">
        <f t="shared" si="21"/>
        <v xml:space="preserve">PWM, 15KW, SINCOS, GI, , </v>
      </c>
      <c r="N150" t="s">
        <v>67</v>
      </c>
      <c r="O150" t="str">
        <f t="shared" si="22"/>
        <v>GI</v>
      </c>
      <c r="P150" t="s">
        <v>1971</v>
      </c>
      <c r="R150" t="str">
        <f t="shared" si="23"/>
        <v>15KW</v>
      </c>
      <c r="S150" t="str">
        <f t="shared" si="24"/>
        <v>SINCOS</v>
      </c>
      <c r="U150" t="str">
        <f t="shared" si="25"/>
        <v>MRGI회생형15KWSINCOS</v>
      </c>
      <c r="V150" t="str">
        <f t="shared" si="26"/>
        <v>20411103G0300</v>
      </c>
      <c r="W150" t="str">
        <f t="shared" si="27"/>
        <v>WBLX-SE PWM (ELD일체형)</v>
      </c>
      <c r="X150" s="1" t="s">
        <v>2118</v>
      </c>
      <c r="Y150" s="1" t="s">
        <v>1983</v>
      </c>
      <c r="Z150" t="s">
        <v>1984</v>
      </c>
      <c r="AA150" t="s">
        <v>2219</v>
      </c>
    </row>
    <row r="151" spans="1:27">
      <c r="A151" s="32">
        <f t="shared" ca="1" si="19"/>
        <v>140</v>
      </c>
      <c r="B151" s="30" t="s">
        <v>1968</v>
      </c>
      <c r="C151" s="30" t="s">
        <v>746</v>
      </c>
      <c r="D151" s="30" t="s">
        <v>2220</v>
      </c>
      <c r="E151" s="30"/>
      <c r="F151" s="30" t="s">
        <v>1970</v>
      </c>
      <c r="G151" s="30" t="s">
        <v>1020</v>
      </c>
      <c r="H151" s="30" t="s">
        <v>1934</v>
      </c>
      <c r="I151" s="30" t="s">
        <v>1849</v>
      </c>
      <c r="J151" s="45"/>
      <c r="K151" s="45"/>
      <c r="L151" s="6" t="str">
        <f t="shared" si="21"/>
        <v xml:space="preserve">PWM, 22KW, SINCOS, GI, , </v>
      </c>
      <c r="N151" t="s">
        <v>67</v>
      </c>
      <c r="O151" t="str">
        <f t="shared" si="22"/>
        <v>GI</v>
      </c>
      <c r="P151" t="s">
        <v>1971</v>
      </c>
      <c r="R151" t="str">
        <f t="shared" si="23"/>
        <v>22KW</v>
      </c>
      <c r="S151" t="str">
        <f t="shared" si="24"/>
        <v>SINCOS</v>
      </c>
      <c r="U151" t="str">
        <f t="shared" si="25"/>
        <v>MRGI회생형22KWSINCOS</v>
      </c>
      <c r="V151" t="str">
        <f t="shared" si="26"/>
        <v>20411103G0400</v>
      </c>
      <c r="W151" t="str">
        <f t="shared" si="27"/>
        <v>WBLX-SE PWM (ELD일체형)</v>
      </c>
      <c r="X151" s="1" t="s">
        <v>2122</v>
      </c>
      <c r="Y151" s="1" t="s">
        <v>1988</v>
      </c>
      <c r="Z151" t="s">
        <v>1989</v>
      </c>
      <c r="AA151" t="s">
        <v>2221</v>
      </c>
    </row>
    <row r="152" spans="1:27">
      <c r="A152" s="32">
        <f t="shared" ca="1" si="19"/>
        <v>141</v>
      </c>
      <c r="B152" s="30" t="s">
        <v>1968</v>
      </c>
      <c r="C152" s="30" t="s">
        <v>746</v>
      </c>
      <c r="D152" s="30" t="s">
        <v>2222</v>
      </c>
      <c r="E152" s="30"/>
      <c r="F152" s="30" t="s">
        <v>1970</v>
      </c>
      <c r="G152" s="30" t="s">
        <v>1013</v>
      </c>
      <c r="H152" s="30" t="s">
        <v>1955</v>
      </c>
      <c r="I152" s="30" t="s">
        <v>1849</v>
      </c>
      <c r="J152" s="45"/>
      <c r="K152" s="45"/>
      <c r="L152" s="6" t="str">
        <f t="shared" si="21"/>
        <v xml:space="preserve">PWM, 7.5KW, INCREMENTAL, GI, , </v>
      </c>
      <c r="N152" t="s">
        <v>67</v>
      </c>
      <c r="O152" t="str">
        <f t="shared" si="22"/>
        <v>GI</v>
      </c>
      <c r="P152" t="s">
        <v>1971</v>
      </c>
      <c r="R152" t="str">
        <f t="shared" si="23"/>
        <v>7.5KW</v>
      </c>
      <c r="S152" t="str">
        <f t="shared" si="24"/>
        <v>INCREMENTAL</v>
      </c>
      <c r="U152" t="str">
        <f t="shared" si="25"/>
        <v>MRGI회생형7.5KWINCREMENTAL</v>
      </c>
      <c r="V152" t="str">
        <f t="shared" si="26"/>
        <v>20411103G0600</v>
      </c>
      <c r="W152" t="str">
        <f t="shared" si="27"/>
        <v>WBLX-SE PWM (ELD일체형)</v>
      </c>
      <c r="X152" s="1" t="s">
        <v>1992</v>
      </c>
      <c r="Y152" s="1" t="s">
        <v>1993</v>
      </c>
      <c r="Z152" t="s">
        <v>1974</v>
      </c>
      <c r="AA152" t="s">
        <v>2215</v>
      </c>
    </row>
    <row r="153" spans="1:27">
      <c r="A153" s="32">
        <f t="shared" ca="1" si="19"/>
        <v>142</v>
      </c>
      <c r="B153" s="30" t="s">
        <v>1968</v>
      </c>
      <c r="C153" s="30" t="s">
        <v>746</v>
      </c>
      <c r="D153" s="30" t="s">
        <v>2223</v>
      </c>
      <c r="E153" s="30"/>
      <c r="F153" s="30" t="s">
        <v>1970</v>
      </c>
      <c r="G153" s="30" t="s">
        <v>1016</v>
      </c>
      <c r="H153" s="30" t="s">
        <v>1955</v>
      </c>
      <c r="I153" s="30" t="s">
        <v>2224</v>
      </c>
      <c r="J153" s="45"/>
      <c r="K153" s="45"/>
      <c r="L153" s="6" t="str">
        <f t="shared" si="21"/>
        <v xml:space="preserve">PWM, 11KW, INCREMENTAL, GI, , </v>
      </c>
      <c r="N153" t="s">
        <v>67</v>
      </c>
      <c r="O153" t="str">
        <f t="shared" si="22"/>
        <v>GI</v>
      </c>
      <c r="P153" t="s">
        <v>1971</v>
      </c>
      <c r="R153" t="str">
        <f t="shared" si="23"/>
        <v>11KW</v>
      </c>
      <c r="S153" t="str">
        <f t="shared" si="24"/>
        <v>INCREMENTAL</v>
      </c>
      <c r="U153" t="str">
        <f t="shared" si="25"/>
        <v>MRGI회생형11KWINCREMENTAL</v>
      </c>
      <c r="V153" t="str">
        <f t="shared" si="26"/>
        <v>20411103G0700</v>
      </c>
      <c r="W153" t="str">
        <f t="shared" si="27"/>
        <v>WBLX-SE PWM (ELD일체형)</v>
      </c>
      <c r="X153" s="1" t="s">
        <v>1995</v>
      </c>
      <c r="Y153" s="1" t="s">
        <v>1996</v>
      </c>
      <c r="Z153" t="s">
        <v>1979</v>
      </c>
      <c r="AA153" t="s">
        <v>2217</v>
      </c>
    </row>
    <row r="154" spans="1:27">
      <c r="A154" s="32">
        <f t="shared" ca="1" si="19"/>
        <v>143</v>
      </c>
      <c r="B154" s="30" t="s">
        <v>1968</v>
      </c>
      <c r="C154" s="30" t="s">
        <v>746</v>
      </c>
      <c r="D154" s="30" t="s">
        <v>2225</v>
      </c>
      <c r="E154" s="30"/>
      <c r="F154" s="30" t="s">
        <v>1970</v>
      </c>
      <c r="G154" s="30" t="s">
        <v>1018</v>
      </c>
      <c r="H154" s="30" t="s">
        <v>1955</v>
      </c>
      <c r="I154" s="30" t="s">
        <v>1849</v>
      </c>
      <c r="J154" s="45"/>
      <c r="K154" s="45"/>
      <c r="L154" s="6" t="str">
        <f t="shared" si="21"/>
        <v xml:space="preserve">PWM, 15KW, INCREMENTAL, GI, , </v>
      </c>
      <c r="N154" t="s">
        <v>67</v>
      </c>
      <c r="O154" t="str">
        <f t="shared" si="22"/>
        <v>GI</v>
      </c>
      <c r="P154" t="s">
        <v>1971</v>
      </c>
      <c r="R154" t="str">
        <f t="shared" si="23"/>
        <v>15KW</v>
      </c>
      <c r="S154" t="str">
        <f t="shared" si="24"/>
        <v>INCREMENTAL</v>
      </c>
      <c r="U154" t="str">
        <f t="shared" si="25"/>
        <v>MRGI회생형15KWINCREMENTAL</v>
      </c>
      <c r="V154" t="str">
        <f t="shared" si="26"/>
        <v>20411103G0800</v>
      </c>
      <c r="W154" t="str">
        <f t="shared" si="27"/>
        <v>WBLX-SE PWM (ELD일체형)</v>
      </c>
      <c r="X154" s="1" t="s">
        <v>1998</v>
      </c>
      <c r="Y154" s="1" t="s">
        <v>1999</v>
      </c>
      <c r="Z154" t="s">
        <v>1984</v>
      </c>
      <c r="AA154" t="s">
        <v>2219</v>
      </c>
    </row>
    <row r="155" spans="1:27">
      <c r="A155" s="33">
        <f t="shared" ca="1" si="19"/>
        <v>144</v>
      </c>
      <c r="B155" s="31" t="s">
        <v>1968</v>
      </c>
      <c r="C155" s="31" t="s">
        <v>746</v>
      </c>
      <c r="D155" s="31" t="s">
        <v>2226</v>
      </c>
      <c r="E155" s="31"/>
      <c r="F155" s="31" t="s">
        <v>1970</v>
      </c>
      <c r="G155" s="31" t="s">
        <v>1020</v>
      </c>
      <c r="H155" s="31" t="s">
        <v>1955</v>
      </c>
      <c r="I155" s="31" t="s">
        <v>1849</v>
      </c>
      <c r="J155" s="46"/>
      <c r="K155" s="46"/>
      <c r="L155" s="6" t="str">
        <f t="shared" si="21"/>
        <v xml:space="preserve">PWM, 22KW, INCREMENTAL, GI, , </v>
      </c>
      <c r="N155" t="s">
        <v>67</v>
      </c>
      <c r="O155" t="str">
        <f t="shared" si="22"/>
        <v>GI</v>
      </c>
      <c r="P155" t="s">
        <v>1971</v>
      </c>
      <c r="R155" t="str">
        <f t="shared" si="23"/>
        <v>22KW</v>
      </c>
      <c r="S155" t="str">
        <f t="shared" si="24"/>
        <v>INCREMENTAL</v>
      </c>
      <c r="U155" t="str">
        <f t="shared" si="25"/>
        <v>MRGI회생형22KWINCREMENTAL</v>
      </c>
      <c r="V155" t="str">
        <f t="shared" si="26"/>
        <v>20411103G0900</v>
      </c>
      <c r="W155" t="str">
        <f t="shared" si="27"/>
        <v>WBLX-SE PWM (ELD일체형)</v>
      </c>
      <c r="X155" s="1" t="s">
        <v>2001</v>
      </c>
      <c r="Y155" s="1" t="s">
        <v>2002</v>
      </c>
      <c r="Z155" t="s">
        <v>1989</v>
      </c>
      <c r="AA155" t="s">
        <v>2221</v>
      </c>
    </row>
    <row r="156" spans="1:27">
      <c r="A156" s="34">
        <f t="shared" ca="1" si="19"/>
        <v>145</v>
      </c>
      <c r="B156" s="29" t="s">
        <v>2003</v>
      </c>
      <c r="C156" s="29" t="s">
        <v>746</v>
      </c>
      <c r="D156" s="29" t="s">
        <v>1142</v>
      </c>
      <c r="E156" s="29" t="s">
        <v>2227</v>
      </c>
      <c r="F156" s="29" t="s">
        <v>1933</v>
      </c>
      <c r="G156" s="29" t="s">
        <v>1013</v>
      </c>
      <c r="H156" s="29" t="s">
        <v>1934</v>
      </c>
      <c r="I156" s="29" t="s">
        <v>2228</v>
      </c>
      <c r="J156" s="29">
        <v>2100</v>
      </c>
      <c r="K156" s="29" t="s">
        <v>1845</v>
      </c>
      <c r="L156" s="6" t="str">
        <f t="shared" si="21"/>
        <v>일반, 7.5KW, SINCOS, DOOR SUS, 2100, LEFT HINGE</v>
      </c>
      <c r="N156" t="s">
        <v>99</v>
      </c>
      <c r="O156" t="s">
        <v>2229</v>
      </c>
      <c r="P156" t="s">
        <v>77</v>
      </c>
      <c r="Q156">
        <f t="shared" ref="Q156:Q204" si="28">J156</f>
        <v>2100</v>
      </c>
      <c r="R156" t="str">
        <f t="shared" si="23"/>
        <v>7.5KW</v>
      </c>
      <c r="S156" t="str">
        <f t="shared" si="24"/>
        <v>SINCOS</v>
      </c>
      <c r="T156" t="str">
        <f t="shared" ref="T156:T204" si="29">K156</f>
        <v>LEFT HINGE</v>
      </c>
      <c r="U156" t="str">
        <f t="shared" si="25"/>
        <v>MRLDOOR만 SUS-HL일반형21007.5KWSINCOSLEFT HINGE</v>
      </c>
      <c r="V156" t="str">
        <f t="shared" si="26"/>
        <v>20411105G0100</v>
      </c>
      <c r="W156" t="str">
        <f t="shared" si="27"/>
        <v>WBSS-SE 일반형</v>
      </c>
      <c r="X156" t="s">
        <v>1935</v>
      </c>
      <c r="Y156" s="1" t="s">
        <v>1936</v>
      </c>
      <c r="Z156" t="s">
        <v>1937</v>
      </c>
      <c r="AA156" t="s">
        <v>2230</v>
      </c>
    </row>
    <row r="157" spans="1:27">
      <c r="A157" s="32">
        <f t="shared" ca="1" si="19"/>
        <v>146</v>
      </c>
      <c r="B157" s="30" t="s">
        <v>2003</v>
      </c>
      <c r="C157" s="30" t="s">
        <v>746</v>
      </c>
      <c r="D157" s="30" t="s">
        <v>2231</v>
      </c>
      <c r="E157" s="30" t="s">
        <v>2227</v>
      </c>
      <c r="F157" s="30" t="s">
        <v>1933</v>
      </c>
      <c r="G157" s="30" t="s">
        <v>1016</v>
      </c>
      <c r="H157" s="30" t="s">
        <v>1934</v>
      </c>
      <c r="I157" s="30" t="s">
        <v>2228</v>
      </c>
      <c r="J157" s="30">
        <v>2100</v>
      </c>
      <c r="K157" s="30" t="s">
        <v>1845</v>
      </c>
      <c r="L157" s="6" t="str">
        <f t="shared" si="21"/>
        <v>일반, 11KW, SINCOS, DOOR SUS, 2100, LEFT HINGE</v>
      </c>
      <c r="N157" t="s">
        <v>99</v>
      </c>
      <c r="O157" t="s">
        <v>2229</v>
      </c>
      <c r="P157" t="s">
        <v>77</v>
      </c>
      <c r="Q157">
        <f t="shared" si="28"/>
        <v>2100</v>
      </c>
      <c r="R157" t="str">
        <f t="shared" si="23"/>
        <v>11KW</v>
      </c>
      <c r="S157" t="str">
        <f t="shared" si="24"/>
        <v>SINCOS</v>
      </c>
      <c r="T157" t="str">
        <f t="shared" si="29"/>
        <v>LEFT HINGE</v>
      </c>
      <c r="U157" t="str">
        <f t="shared" si="25"/>
        <v>MRLDOOR만 SUS-HL일반형210011KWSINCOSLEFT HINGE</v>
      </c>
      <c r="V157" t="str">
        <f t="shared" si="26"/>
        <v>20411105G0200</v>
      </c>
      <c r="W157" t="str">
        <f t="shared" si="27"/>
        <v>WBSS-SE 일반형</v>
      </c>
      <c r="X157" t="s">
        <v>1940</v>
      </c>
      <c r="Y157" s="1" t="s">
        <v>1941</v>
      </c>
      <c r="Z157" t="s">
        <v>1942</v>
      </c>
      <c r="AA157" t="s">
        <v>2232</v>
      </c>
    </row>
    <row r="158" spans="1:27">
      <c r="A158" s="32">
        <f t="shared" ca="1" si="19"/>
        <v>147</v>
      </c>
      <c r="B158" s="30" t="s">
        <v>2003</v>
      </c>
      <c r="C158" s="30" t="s">
        <v>746</v>
      </c>
      <c r="D158" s="30" t="s">
        <v>2233</v>
      </c>
      <c r="E158" s="30" t="s">
        <v>2227</v>
      </c>
      <c r="F158" s="30" t="s">
        <v>1933</v>
      </c>
      <c r="G158" s="30" t="s">
        <v>1018</v>
      </c>
      <c r="H158" s="30" t="s">
        <v>1934</v>
      </c>
      <c r="I158" s="30" t="s">
        <v>2228</v>
      </c>
      <c r="J158" s="30">
        <v>2100</v>
      </c>
      <c r="K158" s="30" t="s">
        <v>1845</v>
      </c>
      <c r="L158" s="6" t="str">
        <f t="shared" si="21"/>
        <v>일반, 15KW, SINCOS, DOOR SUS, 2100, LEFT HINGE</v>
      </c>
      <c r="N158" t="s">
        <v>99</v>
      </c>
      <c r="O158" t="s">
        <v>2229</v>
      </c>
      <c r="P158" t="s">
        <v>77</v>
      </c>
      <c r="Q158">
        <f t="shared" si="28"/>
        <v>2100</v>
      </c>
      <c r="R158" t="str">
        <f t="shared" si="23"/>
        <v>15KW</v>
      </c>
      <c r="S158" t="str">
        <f t="shared" si="24"/>
        <v>SINCOS</v>
      </c>
      <c r="T158" t="str">
        <f t="shared" si="29"/>
        <v>LEFT HINGE</v>
      </c>
      <c r="U158" t="str">
        <f t="shared" si="25"/>
        <v>MRLDOOR만 SUS-HL일반형210015KWSINCOSLEFT HINGE</v>
      </c>
      <c r="V158" t="str">
        <f t="shared" si="26"/>
        <v>20411105G0300</v>
      </c>
      <c r="W158" t="str">
        <f t="shared" si="27"/>
        <v>WBSS-SE 일반형</v>
      </c>
      <c r="X158" t="s">
        <v>1945</v>
      </c>
      <c r="Y158" s="1" t="s">
        <v>1946</v>
      </c>
      <c r="Z158" t="s">
        <v>1947</v>
      </c>
      <c r="AA158" t="s">
        <v>2234</v>
      </c>
    </row>
    <row r="159" spans="1:27">
      <c r="A159" s="32">
        <f t="shared" ca="1" si="19"/>
        <v>148</v>
      </c>
      <c r="B159" s="30" t="s">
        <v>2003</v>
      </c>
      <c r="C159" s="30" t="s">
        <v>746</v>
      </c>
      <c r="D159" s="30" t="s">
        <v>2235</v>
      </c>
      <c r="E159" s="30" t="s">
        <v>2236</v>
      </c>
      <c r="F159" s="30" t="s">
        <v>1933</v>
      </c>
      <c r="G159" s="30" t="s">
        <v>1020</v>
      </c>
      <c r="H159" s="30" t="s">
        <v>1934</v>
      </c>
      <c r="I159" s="30" t="s">
        <v>2228</v>
      </c>
      <c r="J159" s="30">
        <v>2100</v>
      </c>
      <c r="K159" s="30" t="s">
        <v>1845</v>
      </c>
      <c r="L159" s="6" t="str">
        <f t="shared" si="21"/>
        <v>일반, 22KW, SINCOS, DOOR SUS, 2100, LEFT HINGE</v>
      </c>
      <c r="N159" t="s">
        <v>99</v>
      </c>
      <c r="O159" t="s">
        <v>2229</v>
      </c>
      <c r="P159" t="s">
        <v>77</v>
      </c>
      <c r="Q159">
        <f t="shared" si="28"/>
        <v>2100</v>
      </c>
      <c r="R159" t="str">
        <f t="shared" si="23"/>
        <v>22KW</v>
      </c>
      <c r="S159" t="str">
        <f t="shared" si="24"/>
        <v>SINCOS</v>
      </c>
      <c r="T159" t="str">
        <f t="shared" si="29"/>
        <v>LEFT HINGE</v>
      </c>
      <c r="U159" t="str">
        <f t="shared" si="25"/>
        <v>MRLDOOR만 SUS-HL일반형210022KWSINCOSLEFT HINGE</v>
      </c>
      <c r="V159" t="str">
        <f t="shared" si="26"/>
        <v>20411105G0400</v>
      </c>
      <c r="W159" t="str">
        <f t="shared" si="27"/>
        <v>WBSS-SE 일반형</v>
      </c>
      <c r="X159" t="s">
        <v>1950</v>
      </c>
      <c r="Y159" s="1" t="s">
        <v>1951</v>
      </c>
      <c r="Z159" t="s">
        <v>1952</v>
      </c>
      <c r="AA159" t="s">
        <v>2237</v>
      </c>
    </row>
    <row r="160" spans="1:27">
      <c r="A160" s="32">
        <f t="shared" ca="1" si="19"/>
        <v>149</v>
      </c>
      <c r="B160" s="30" t="s">
        <v>2003</v>
      </c>
      <c r="C160" s="30" t="s">
        <v>746</v>
      </c>
      <c r="D160" s="30" t="s">
        <v>2238</v>
      </c>
      <c r="E160" s="30" t="s">
        <v>2239</v>
      </c>
      <c r="F160" s="30" t="s">
        <v>1933</v>
      </c>
      <c r="G160" s="30" t="s">
        <v>1013</v>
      </c>
      <c r="H160" s="30" t="s">
        <v>1934</v>
      </c>
      <c r="I160" s="30" t="s">
        <v>2228</v>
      </c>
      <c r="J160" s="30">
        <v>2200</v>
      </c>
      <c r="K160" s="30" t="s">
        <v>1845</v>
      </c>
      <c r="L160" s="6" t="str">
        <f t="shared" si="21"/>
        <v>일반, 7.5KW, SINCOS, DOOR SUS, 2200, LEFT HINGE</v>
      </c>
      <c r="N160" t="s">
        <v>99</v>
      </c>
      <c r="O160" t="s">
        <v>2229</v>
      </c>
      <c r="P160" t="s">
        <v>77</v>
      </c>
      <c r="Q160">
        <f t="shared" si="28"/>
        <v>2200</v>
      </c>
      <c r="R160" t="str">
        <f t="shared" si="23"/>
        <v>7.5KW</v>
      </c>
      <c r="S160" t="str">
        <f t="shared" si="24"/>
        <v>SINCOS</v>
      </c>
      <c r="T160" t="str">
        <f t="shared" si="29"/>
        <v>LEFT HINGE</v>
      </c>
      <c r="U160" t="str">
        <f t="shared" si="25"/>
        <v>MRLDOOR만 SUS-HL일반형22007.5KWSINCOSLEFT HINGE</v>
      </c>
      <c r="V160" t="str">
        <f t="shared" si="26"/>
        <v>20411105G0600</v>
      </c>
      <c r="W160" t="str">
        <f t="shared" si="27"/>
        <v>WBSS-SE 일반형</v>
      </c>
      <c r="X160" t="s">
        <v>1935</v>
      </c>
      <c r="Y160" s="1" t="s">
        <v>1936</v>
      </c>
      <c r="Z160" t="s">
        <v>1937</v>
      </c>
      <c r="AA160" t="s">
        <v>2240</v>
      </c>
    </row>
    <row r="161" spans="1:27">
      <c r="A161" s="32">
        <f t="shared" ca="1" si="19"/>
        <v>150</v>
      </c>
      <c r="B161" s="30" t="s">
        <v>2003</v>
      </c>
      <c r="C161" s="30" t="s">
        <v>746</v>
      </c>
      <c r="D161" s="30" t="s">
        <v>2241</v>
      </c>
      <c r="E161" s="30" t="s">
        <v>2239</v>
      </c>
      <c r="F161" s="30" t="s">
        <v>1933</v>
      </c>
      <c r="G161" s="30" t="s">
        <v>1016</v>
      </c>
      <c r="H161" s="30" t="s">
        <v>1934</v>
      </c>
      <c r="I161" s="30" t="s">
        <v>2228</v>
      </c>
      <c r="J161" s="30">
        <v>2200</v>
      </c>
      <c r="K161" s="30" t="s">
        <v>1845</v>
      </c>
      <c r="L161" s="6" t="str">
        <f t="shared" si="21"/>
        <v>일반, 11KW, SINCOS, DOOR SUS, 2200, LEFT HINGE</v>
      </c>
      <c r="N161" t="s">
        <v>99</v>
      </c>
      <c r="O161" t="s">
        <v>2229</v>
      </c>
      <c r="P161" t="s">
        <v>77</v>
      </c>
      <c r="Q161">
        <f t="shared" si="28"/>
        <v>2200</v>
      </c>
      <c r="R161" t="str">
        <f t="shared" si="23"/>
        <v>11KW</v>
      </c>
      <c r="S161" t="str">
        <f t="shared" si="24"/>
        <v>SINCOS</v>
      </c>
      <c r="T161" t="str">
        <f t="shared" si="29"/>
        <v>LEFT HINGE</v>
      </c>
      <c r="U161" t="str">
        <f t="shared" si="25"/>
        <v>MRLDOOR만 SUS-HL일반형220011KWSINCOSLEFT HINGE</v>
      </c>
      <c r="V161" t="str">
        <f t="shared" si="26"/>
        <v>20411105G0700</v>
      </c>
      <c r="W161" t="str">
        <f t="shared" si="27"/>
        <v>WBSS-SE 일반형</v>
      </c>
      <c r="X161" t="s">
        <v>1940</v>
      </c>
      <c r="Y161" s="1" t="s">
        <v>1941</v>
      </c>
      <c r="Z161" t="s">
        <v>1942</v>
      </c>
      <c r="AA161" t="s">
        <v>2242</v>
      </c>
    </row>
    <row r="162" spans="1:27">
      <c r="A162" s="32">
        <f t="shared" ca="1" si="19"/>
        <v>151</v>
      </c>
      <c r="B162" s="30" t="s">
        <v>2003</v>
      </c>
      <c r="C162" s="30" t="s">
        <v>746</v>
      </c>
      <c r="D162" s="30" t="s">
        <v>2243</v>
      </c>
      <c r="E162" s="30" t="s">
        <v>2239</v>
      </c>
      <c r="F162" s="30" t="s">
        <v>1933</v>
      </c>
      <c r="G162" s="30" t="s">
        <v>1018</v>
      </c>
      <c r="H162" s="30" t="s">
        <v>1934</v>
      </c>
      <c r="I162" s="30" t="s">
        <v>2228</v>
      </c>
      <c r="J162" s="30">
        <v>2200</v>
      </c>
      <c r="K162" s="30" t="s">
        <v>1845</v>
      </c>
      <c r="L162" s="6" t="str">
        <f t="shared" si="21"/>
        <v>일반, 15KW, SINCOS, DOOR SUS, 2200, LEFT HINGE</v>
      </c>
      <c r="N162" t="s">
        <v>99</v>
      </c>
      <c r="O162" t="s">
        <v>2229</v>
      </c>
      <c r="P162" t="s">
        <v>77</v>
      </c>
      <c r="Q162">
        <f t="shared" si="28"/>
        <v>2200</v>
      </c>
      <c r="R162" t="str">
        <f t="shared" si="23"/>
        <v>15KW</v>
      </c>
      <c r="S162" t="str">
        <f t="shared" si="24"/>
        <v>SINCOS</v>
      </c>
      <c r="T162" t="str">
        <f t="shared" si="29"/>
        <v>LEFT HINGE</v>
      </c>
      <c r="U162" t="str">
        <f t="shared" si="25"/>
        <v>MRLDOOR만 SUS-HL일반형220015KWSINCOSLEFT HINGE</v>
      </c>
      <c r="V162" t="str">
        <f t="shared" si="26"/>
        <v>20411105G0800</v>
      </c>
      <c r="W162" t="str">
        <f t="shared" si="27"/>
        <v>WBSS-SE 일반형</v>
      </c>
      <c r="X162" t="s">
        <v>1945</v>
      </c>
      <c r="Y162" s="1" t="s">
        <v>1946</v>
      </c>
      <c r="Z162" t="s">
        <v>1947</v>
      </c>
      <c r="AA162" t="s">
        <v>2244</v>
      </c>
    </row>
    <row r="163" spans="1:27">
      <c r="A163" s="32">
        <f t="shared" ca="1" si="19"/>
        <v>152</v>
      </c>
      <c r="B163" s="30" t="s">
        <v>2003</v>
      </c>
      <c r="C163" s="30" t="s">
        <v>746</v>
      </c>
      <c r="D163" s="30" t="s">
        <v>2245</v>
      </c>
      <c r="E163" s="30" t="s">
        <v>2246</v>
      </c>
      <c r="F163" s="30" t="s">
        <v>1933</v>
      </c>
      <c r="G163" s="30" t="s">
        <v>1020</v>
      </c>
      <c r="H163" s="30" t="s">
        <v>1934</v>
      </c>
      <c r="I163" s="30" t="s">
        <v>2228</v>
      </c>
      <c r="J163" s="30">
        <v>2200</v>
      </c>
      <c r="K163" s="30" t="s">
        <v>1845</v>
      </c>
      <c r="L163" s="6" t="str">
        <f t="shared" si="21"/>
        <v>일반, 22KW, SINCOS, DOOR SUS, 2200, LEFT HINGE</v>
      </c>
      <c r="N163" t="s">
        <v>99</v>
      </c>
      <c r="O163" t="s">
        <v>2229</v>
      </c>
      <c r="P163" t="s">
        <v>77</v>
      </c>
      <c r="Q163">
        <f t="shared" si="28"/>
        <v>2200</v>
      </c>
      <c r="R163" t="str">
        <f t="shared" si="23"/>
        <v>22KW</v>
      </c>
      <c r="S163" t="str">
        <f t="shared" si="24"/>
        <v>SINCOS</v>
      </c>
      <c r="T163" t="str">
        <f t="shared" si="29"/>
        <v>LEFT HINGE</v>
      </c>
      <c r="U163" t="str">
        <f t="shared" si="25"/>
        <v>MRLDOOR만 SUS-HL일반형220022KWSINCOSLEFT HINGE</v>
      </c>
      <c r="V163" t="str">
        <f t="shared" si="26"/>
        <v>20411105G0900</v>
      </c>
      <c r="W163" t="str">
        <f t="shared" si="27"/>
        <v>WBSS-SE 일반형</v>
      </c>
      <c r="X163" t="s">
        <v>1950</v>
      </c>
      <c r="Y163" s="1" t="s">
        <v>1951</v>
      </c>
      <c r="Z163" t="s">
        <v>1952</v>
      </c>
      <c r="AA163" t="s">
        <v>2247</v>
      </c>
    </row>
    <row r="164" spans="1:27">
      <c r="A164" s="32">
        <f t="shared" ca="1" si="19"/>
        <v>153</v>
      </c>
      <c r="B164" s="30" t="s">
        <v>2003</v>
      </c>
      <c r="C164" s="30" t="s">
        <v>746</v>
      </c>
      <c r="D164" s="30" t="s">
        <v>2248</v>
      </c>
      <c r="E164" s="30" t="s">
        <v>2249</v>
      </c>
      <c r="F164" s="30" t="s">
        <v>1933</v>
      </c>
      <c r="G164" s="30" t="s">
        <v>1013</v>
      </c>
      <c r="H164" s="30" t="s">
        <v>1934</v>
      </c>
      <c r="I164" s="30" t="s">
        <v>2228</v>
      </c>
      <c r="J164" s="30">
        <v>2400</v>
      </c>
      <c r="K164" s="30" t="s">
        <v>1845</v>
      </c>
      <c r="L164" s="6" t="str">
        <f t="shared" si="21"/>
        <v>일반, 7.5KW, SINCOS, DOOR SUS, 2400, LEFT HINGE</v>
      </c>
      <c r="N164" t="s">
        <v>99</v>
      </c>
      <c r="O164" t="s">
        <v>2229</v>
      </c>
      <c r="P164" t="s">
        <v>77</v>
      </c>
      <c r="Q164">
        <f t="shared" si="28"/>
        <v>2400</v>
      </c>
      <c r="R164" t="str">
        <f t="shared" si="23"/>
        <v>7.5KW</v>
      </c>
      <c r="S164" t="str">
        <f t="shared" si="24"/>
        <v>SINCOS</v>
      </c>
      <c r="T164" t="str">
        <f t="shared" si="29"/>
        <v>LEFT HINGE</v>
      </c>
      <c r="U164" t="str">
        <f t="shared" si="25"/>
        <v>MRLDOOR만 SUS-HL일반형24007.5KWSINCOSLEFT HINGE</v>
      </c>
      <c r="V164" t="str">
        <f t="shared" si="26"/>
        <v>20411105G1100</v>
      </c>
      <c r="W164" t="str">
        <f t="shared" si="27"/>
        <v>WBSS-SE 일반형</v>
      </c>
      <c r="X164" t="s">
        <v>1935</v>
      </c>
      <c r="Y164" s="1" t="s">
        <v>1936</v>
      </c>
      <c r="Z164" t="s">
        <v>1937</v>
      </c>
      <c r="AA164" t="s">
        <v>2250</v>
      </c>
    </row>
    <row r="165" spans="1:27">
      <c r="A165" s="32">
        <f t="shared" ca="1" si="19"/>
        <v>154</v>
      </c>
      <c r="B165" s="30" t="s">
        <v>2003</v>
      </c>
      <c r="C165" s="30" t="s">
        <v>746</v>
      </c>
      <c r="D165" s="30" t="s">
        <v>2251</v>
      </c>
      <c r="E165" s="30" t="s">
        <v>2249</v>
      </c>
      <c r="F165" s="30" t="s">
        <v>1933</v>
      </c>
      <c r="G165" s="30" t="s">
        <v>1016</v>
      </c>
      <c r="H165" s="30" t="s">
        <v>1934</v>
      </c>
      <c r="I165" s="30" t="s">
        <v>2228</v>
      </c>
      <c r="J165" s="30">
        <v>2400</v>
      </c>
      <c r="K165" s="30" t="s">
        <v>1845</v>
      </c>
      <c r="L165" s="6" t="str">
        <f t="shared" si="21"/>
        <v>일반, 11KW, SINCOS, DOOR SUS, 2400, LEFT HINGE</v>
      </c>
      <c r="N165" t="s">
        <v>99</v>
      </c>
      <c r="O165" t="s">
        <v>2229</v>
      </c>
      <c r="P165" t="s">
        <v>77</v>
      </c>
      <c r="Q165">
        <f t="shared" si="28"/>
        <v>2400</v>
      </c>
      <c r="R165" t="str">
        <f t="shared" si="23"/>
        <v>11KW</v>
      </c>
      <c r="S165" t="str">
        <f t="shared" si="24"/>
        <v>SINCOS</v>
      </c>
      <c r="T165" t="str">
        <f t="shared" si="29"/>
        <v>LEFT HINGE</v>
      </c>
      <c r="U165" t="str">
        <f t="shared" si="25"/>
        <v>MRLDOOR만 SUS-HL일반형240011KWSINCOSLEFT HINGE</v>
      </c>
      <c r="V165" t="str">
        <f t="shared" si="26"/>
        <v>20411105G1200</v>
      </c>
      <c r="W165" t="str">
        <f t="shared" si="27"/>
        <v>WBSS-SE 일반형</v>
      </c>
      <c r="X165" t="s">
        <v>1940</v>
      </c>
      <c r="Y165" s="1" t="s">
        <v>1941</v>
      </c>
      <c r="Z165" t="s">
        <v>1942</v>
      </c>
      <c r="AA165" t="s">
        <v>2252</v>
      </c>
    </row>
    <row r="166" spans="1:27">
      <c r="A166" s="32">
        <f t="shared" ca="1" si="19"/>
        <v>155</v>
      </c>
      <c r="B166" s="30" t="s">
        <v>2003</v>
      </c>
      <c r="C166" s="30" t="s">
        <v>746</v>
      </c>
      <c r="D166" s="30" t="s">
        <v>2253</v>
      </c>
      <c r="E166" s="30" t="s">
        <v>2249</v>
      </c>
      <c r="F166" s="30" t="s">
        <v>1933</v>
      </c>
      <c r="G166" s="30" t="s">
        <v>1018</v>
      </c>
      <c r="H166" s="30" t="s">
        <v>1934</v>
      </c>
      <c r="I166" s="30" t="s">
        <v>2228</v>
      </c>
      <c r="J166" s="30">
        <v>2400</v>
      </c>
      <c r="K166" s="30" t="s">
        <v>1845</v>
      </c>
      <c r="L166" s="6" t="str">
        <f t="shared" si="21"/>
        <v>일반, 15KW, SINCOS, DOOR SUS, 2400, LEFT HINGE</v>
      </c>
      <c r="N166" t="s">
        <v>99</v>
      </c>
      <c r="O166" t="s">
        <v>2229</v>
      </c>
      <c r="P166" t="s">
        <v>77</v>
      </c>
      <c r="Q166">
        <f t="shared" si="28"/>
        <v>2400</v>
      </c>
      <c r="R166" t="str">
        <f t="shared" si="23"/>
        <v>15KW</v>
      </c>
      <c r="S166" t="str">
        <f t="shared" si="24"/>
        <v>SINCOS</v>
      </c>
      <c r="T166" t="str">
        <f t="shared" si="29"/>
        <v>LEFT HINGE</v>
      </c>
      <c r="U166" t="str">
        <f t="shared" si="25"/>
        <v>MRLDOOR만 SUS-HL일반형240015KWSINCOSLEFT HINGE</v>
      </c>
      <c r="V166" t="str">
        <f t="shared" si="26"/>
        <v>20411105G1300</v>
      </c>
      <c r="W166" t="str">
        <f t="shared" si="27"/>
        <v>WBSS-SE 일반형</v>
      </c>
      <c r="X166" t="s">
        <v>1945</v>
      </c>
      <c r="Y166" s="1" t="s">
        <v>1946</v>
      </c>
      <c r="Z166" t="s">
        <v>1947</v>
      </c>
      <c r="AA166" t="s">
        <v>2254</v>
      </c>
    </row>
    <row r="167" spans="1:27">
      <c r="A167" s="32">
        <f t="shared" ca="1" si="19"/>
        <v>156</v>
      </c>
      <c r="B167" s="30" t="s">
        <v>2003</v>
      </c>
      <c r="C167" s="30" t="s">
        <v>746</v>
      </c>
      <c r="D167" s="30" t="s">
        <v>2255</v>
      </c>
      <c r="E167" s="30" t="s">
        <v>2256</v>
      </c>
      <c r="F167" s="30" t="s">
        <v>1933</v>
      </c>
      <c r="G167" s="30" t="s">
        <v>1020</v>
      </c>
      <c r="H167" s="30" t="s">
        <v>1934</v>
      </c>
      <c r="I167" s="30" t="s">
        <v>2228</v>
      </c>
      <c r="J167" s="30">
        <v>2400</v>
      </c>
      <c r="K167" s="30" t="s">
        <v>1845</v>
      </c>
      <c r="L167" s="6" t="str">
        <f t="shared" si="21"/>
        <v>일반, 22KW, SINCOS, DOOR SUS, 2400, LEFT HINGE</v>
      </c>
      <c r="N167" t="s">
        <v>99</v>
      </c>
      <c r="O167" t="s">
        <v>2229</v>
      </c>
      <c r="P167" t="s">
        <v>77</v>
      </c>
      <c r="Q167">
        <f t="shared" si="28"/>
        <v>2400</v>
      </c>
      <c r="R167" t="str">
        <f t="shared" si="23"/>
        <v>22KW</v>
      </c>
      <c r="S167" t="str">
        <f t="shared" si="24"/>
        <v>SINCOS</v>
      </c>
      <c r="T167" t="str">
        <f t="shared" si="29"/>
        <v>LEFT HINGE</v>
      </c>
      <c r="U167" t="str">
        <f t="shared" si="25"/>
        <v>MRLDOOR만 SUS-HL일반형240022KWSINCOSLEFT HINGE</v>
      </c>
      <c r="V167" t="str">
        <f t="shared" si="26"/>
        <v>20411105G1400</v>
      </c>
      <c r="W167" t="str">
        <f t="shared" si="27"/>
        <v>WBSS-SE 일반형</v>
      </c>
      <c r="X167" t="s">
        <v>1950</v>
      </c>
      <c r="Y167" s="1" t="s">
        <v>1951</v>
      </c>
      <c r="Z167" t="s">
        <v>1952</v>
      </c>
      <c r="AA167" t="s">
        <v>2257</v>
      </c>
    </row>
    <row r="168" spans="1:27">
      <c r="A168" s="32">
        <f t="shared" ca="1" si="19"/>
        <v>157</v>
      </c>
      <c r="B168" s="30" t="s">
        <v>2003</v>
      </c>
      <c r="C168" s="30" t="s">
        <v>746</v>
      </c>
      <c r="D168" s="30" t="s">
        <v>1166</v>
      </c>
      <c r="E168" s="30" t="s">
        <v>2258</v>
      </c>
      <c r="F168" s="30" t="s">
        <v>1933</v>
      </c>
      <c r="G168" s="30" t="s">
        <v>1013</v>
      </c>
      <c r="H168" s="30" t="s">
        <v>1934</v>
      </c>
      <c r="I168" s="30" t="s">
        <v>2228</v>
      </c>
      <c r="J168" s="30">
        <v>2100</v>
      </c>
      <c r="K168" s="30" t="s">
        <v>1853</v>
      </c>
      <c r="L168" s="6" t="str">
        <f t="shared" si="21"/>
        <v>일반, 7.5KW, SINCOS, DOOR SUS, 2100, RIGHT HINGE</v>
      </c>
      <c r="N168" t="s">
        <v>99</v>
      </c>
      <c r="O168" t="s">
        <v>2229</v>
      </c>
      <c r="P168" t="s">
        <v>77</v>
      </c>
      <c r="Q168">
        <f t="shared" si="28"/>
        <v>2100</v>
      </c>
      <c r="R168" t="str">
        <f t="shared" si="23"/>
        <v>7.5KW</v>
      </c>
      <c r="S168" t="str">
        <f t="shared" si="24"/>
        <v>SINCOS</v>
      </c>
      <c r="T168" t="str">
        <f t="shared" si="29"/>
        <v>RIGHT HINGE</v>
      </c>
      <c r="U168" t="str">
        <f t="shared" si="25"/>
        <v>MRLDOOR만 SUS-HL일반형21007.5KWSINCOSRIGHT HINGE</v>
      </c>
      <c r="V168" t="str">
        <f t="shared" si="26"/>
        <v>20411105G1600</v>
      </c>
      <c r="W168" t="str">
        <f t="shared" si="27"/>
        <v>WBSS-SE 일반형</v>
      </c>
      <c r="X168" t="s">
        <v>1935</v>
      </c>
      <c r="Y168" s="1" t="s">
        <v>1936</v>
      </c>
      <c r="Z168" t="s">
        <v>1937</v>
      </c>
      <c r="AA168" t="s">
        <v>2259</v>
      </c>
    </row>
    <row r="169" spans="1:27">
      <c r="A169" s="32">
        <f t="shared" ca="1" si="19"/>
        <v>158</v>
      </c>
      <c r="B169" s="30" t="s">
        <v>2003</v>
      </c>
      <c r="C169" s="30" t="s">
        <v>746</v>
      </c>
      <c r="D169" s="30" t="s">
        <v>2260</v>
      </c>
      <c r="E169" s="30" t="s">
        <v>2258</v>
      </c>
      <c r="F169" s="30" t="s">
        <v>1933</v>
      </c>
      <c r="G169" s="30" t="s">
        <v>1016</v>
      </c>
      <c r="H169" s="30" t="s">
        <v>1934</v>
      </c>
      <c r="I169" s="30" t="s">
        <v>2228</v>
      </c>
      <c r="J169" s="30">
        <v>2100</v>
      </c>
      <c r="K169" s="30" t="s">
        <v>1853</v>
      </c>
      <c r="L169" s="6" t="str">
        <f t="shared" si="21"/>
        <v>일반, 11KW, SINCOS, DOOR SUS, 2100, RIGHT HINGE</v>
      </c>
      <c r="N169" t="s">
        <v>99</v>
      </c>
      <c r="O169" t="s">
        <v>2229</v>
      </c>
      <c r="P169" t="s">
        <v>77</v>
      </c>
      <c r="Q169">
        <f t="shared" si="28"/>
        <v>2100</v>
      </c>
      <c r="R169" t="str">
        <f t="shared" si="23"/>
        <v>11KW</v>
      </c>
      <c r="S169" t="str">
        <f t="shared" si="24"/>
        <v>SINCOS</v>
      </c>
      <c r="T169" t="str">
        <f t="shared" si="29"/>
        <v>RIGHT HINGE</v>
      </c>
      <c r="U169" t="str">
        <f t="shared" si="25"/>
        <v>MRLDOOR만 SUS-HL일반형210011KWSINCOSRIGHT HINGE</v>
      </c>
      <c r="V169" t="str">
        <f t="shared" si="26"/>
        <v>20411105G1700</v>
      </c>
      <c r="W169" t="str">
        <f t="shared" si="27"/>
        <v>WBSS-SE 일반형</v>
      </c>
      <c r="X169" t="s">
        <v>1940</v>
      </c>
      <c r="Y169" s="1" t="s">
        <v>1941</v>
      </c>
      <c r="Z169" t="s">
        <v>1942</v>
      </c>
      <c r="AA169" t="s">
        <v>2261</v>
      </c>
    </row>
    <row r="170" spans="1:27">
      <c r="A170" s="32">
        <f t="shared" ca="1" si="19"/>
        <v>159</v>
      </c>
      <c r="B170" s="30" t="s">
        <v>2003</v>
      </c>
      <c r="C170" s="30" t="s">
        <v>746</v>
      </c>
      <c r="D170" s="30" t="s">
        <v>2262</v>
      </c>
      <c r="E170" s="30" t="s">
        <v>2258</v>
      </c>
      <c r="F170" s="30" t="s">
        <v>1933</v>
      </c>
      <c r="G170" s="30" t="s">
        <v>1018</v>
      </c>
      <c r="H170" s="30" t="s">
        <v>1934</v>
      </c>
      <c r="I170" s="30" t="s">
        <v>2228</v>
      </c>
      <c r="J170" s="30">
        <v>2100</v>
      </c>
      <c r="K170" s="30" t="s">
        <v>1853</v>
      </c>
      <c r="L170" s="6" t="str">
        <f t="shared" si="21"/>
        <v>일반, 15KW, SINCOS, DOOR SUS, 2100, RIGHT HINGE</v>
      </c>
      <c r="N170" t="s">
        <v>99</v>
      </c>
      <c r="O170" t="s">
        <v>2229</v>
      </c>
      <c r="P170" t="s">
        <v>77</v>
      </c>
      <c r="Q170">
        <f t="shared" si="28"/>
        <v>2100</v>
      </c>
      <c r="R170" t="str">
        <f t="shared" si="23"/>
        <v>15KW</v>
      </c>
      <c r="S170" t="str">
        <f t="shared" si="24"/>
        <v>SINCOS</v>
      </c>
      <c r="T170" t="str">
        <f t="shared" si="29"/>
        <v>RIGHT HINGE</v>
      </c>
      <c r="U170" t="str">
        <f t="shared" si="25"/>
        <v>MRLDOOR만 SUS-HL일반형210015KWSINCOSRIGHT HINGE</v>
      </c>
      <c r="V170" t="str">
        <f t="shared" si="26"/>
        <v>20411105G1800</v>
      </c>
      <c r="W170" t="str">
        <f t="shared" si="27"/>
        <v>WBSS-SE 일반형</v>
      </c>
      <c r="X170" t="s">
        <v>1945</v>
      </c>
      <c r="Y170" s="1" t="s">
        <v>1946</v>
      </c>
      <c r="Z170" t="s">
        <v>1947</v>
      </c>
      <c r="AA170" t="s">
        <v>2263</v>
      </c>
    </row>
    <row r="171" spans="1:27">
      <c r="A171" s="32">
        <f t="shared" ca="1" si="19"/>
        <v>160</v>
      </c>
      <c r="B171" s="30" t="s">
        <v>2003</v>
      </c>
      <c r="C171" s="30" t="s">
        <v>746</v>
      </c>
      <c r="D171" s="30" t="s">
        <v>2264</v>
      </c>
      <c r="E171" s="30" t="s">
        <v>2265</v>
      </c>
      <c r="F171" s="30" t="s">
        <v>1933</v>
      </c>
      <c r="G171" s="30" t="s">
        <v>1020</v>
      </c>
      <c r="H171" s="30" t="s">
        <v>1934</v>
      </c>
      <c r="I171" s="30" t="s">
        <v>2228</v>
      </c>
      <c r="J171" s="30">
        <v>2100</v>
      </c>
      <c r="K171" s="30" t="s">
        <v>1853</v>
      </c>
      <c r="L171" s="6" t="str">
        <f t="shared" si="21"/>
        <v>일반, 22KW, SINCOS, DOOR SUS, 2100, RIGHT HINGE</v>
      </c>
      <c r="N171" t="s">
        <v>99</v>
      </c>
      <c r="O171" t="s">
        <v>2229</v>
      </c>
      <c r="P171" t="s">
        <v>77</v>
      </c>
      <c r="Q171">
        <f t="shared" si="28"/>
        <v>2100</v>
      </c>
      <c r="R171" t="str">
        <f t="shared" si="23"/>
        <v>22KW</v>
      </c>
      <c r="S171" t="str">
        <f t="shared" si="24"/>
        <v>SINCOS</v>
      </c>
      <c r="T171" t="str">
        <f t="shared" si="29"/>
        <v>RIGHT HINGE</v>
      </c>
      <c r="U171" t="str">
        <f t="shared" si="25"/>
        <v>MRLDOOR만 SUS-HL일반형210022KWSINCOSRIGHT HINGE</v>
      </c>
      <c r="V171" t="str">
        <f t="shared" si="26"/>
        <v>20411105G1900</v>
      </c>
      <c r="W171" t="str">
        <f t="shared" si="27"/>
        <v>WBSS-SE 일반형</v>
      </c>
      <c r="X171" t="s">
        <v>1950</v>
      </c>
      <c r="Y171" s="1" t="s">
        <v>1951</v>
      </c>
      <c r="Z171" t="s">
        <v>1952</v>
      </c>
      <c r="AA171" t="s">
        <v>2266</v>
      </c>
    </row>
    <row r="172" spans="1:27">
      <c r="A172" s="32">
        <f t="shared" ca="1" si="19"/>
        <v>161</v>
      </c>
      <c r="B172" s="30" t="s">
        <v>2003</v>
      </c>
      <c r="C172" s="30" t="s">
        <v>746</v>
      </c>
      <c r="D172" s="30" t="s">
        <v>2267</v>
      </c>
      <c r="E172" s="30" t="s">
        <v>2268</v>
      </c>
      <c r="F172" s="30" t="s">
        <v>1933</v>
      </c>
      <c r="G172" s="30" t="s">
        <v>1013</v>
      </c>
      <c r="H172" s="30" t="s">
        <v>1934</v>
      </c>
      <c r="I172" s="30" t="s">
        <v>2228</v>
      </c>
      <c r="J172" s="30">
        <v>2200</v>
      </c>
      <c r="K172" s="30" t="s">
        <v>1853</v>
      </c>
      <c r="L172" s="6" t="str">
        <f t="shared" si="21"/>
        <v>일반, 7.5KW, SINCOS, DOOR SUS, 2200, RIGHT HINGE</v>
      </c>
      <c r="N172" t="s">
        <v>99</v>
      </c>
      <c r="O172" t="s">
        <v>2229</v>
      </c>
      <c r="P172" t="s">
        <v>77</v>
      </c>
      <c r="Q172">
        <f t="shared" si="28"/>
        <v>2200</v>
      </c>
      <c r="R172" t="str">
        <f t="shared" si="23"/>
        <v>7.5KW</v>
      </c>
      <c r="S172" t="str">
        <f t="shared" si="24"/>
        <v>SINCOS</v>
      </c>
      <c r="T172" t="str">
        <f t="shared" si="29"/>
        <v>RIGHT HINGE</v>
      </c>
      <c r="U172" t="str">
        <f t="shared" si="25"/>
        <v>MRLDOOR만 SUS-HL일반형22007.5KWSINCOSRIGHT HINGE</v>
      </c>
      <c r="V172" t="str">
        <f t="shared" si="26"/>
        <v>20411105G2100</v>
      </c>
      <c r="W172" t="str">
        <f t="shared" si="27"/>
        <v>WBSS-SE 일반형</v>
      </c>
      <c r="X172" t="s">
        <v>1935</v>
      </c>
      <c r="Y172" s="1" t="s">
        <v>1936</v>
      </c>
      <c r="Z172" t="s">
        <v>1937</v>
      </c>
      <c r="AA172" t="s">
        <v>2269</v>
      </c>
    </row>
    <row r="173" spans="1:27">
      <c r="A173" s="32">
        <f t="shared" ca="1" si="19"/>
        <v>162</v>
      </c>
      <c r="B173" s="30" t="s">
        <v>2003</v>
      </c>
      <c r="C173" s="30" t="s">
        <v>746</v>
      </c>
      <c r="D173" s="30" t="s">
        <v>2270</v>
      </c>
      <c r="E173" s="30" t="s">
        <v>2268</v>
      </c>
      <c r="F173" s="30" t="s">
        <v>1933</v>
      </c>
      <c r="G173" s="30" t="s">
        <v>1016</v>
      </c>
      <c r="H173" s="30" t="s">
        <v>1934</v>
      </c>
      <c r="I173" s="30" t="s">
        <v>2228</v>
      </c>
      <c r="J173" s="30">
        <v>2200</v>
      </c>
      <c r="K173" s="30" t="s">
        <v>1853</v>
      </c>
      <c r="L173" s="6" t="str">
        <f t="shared" si="21"/>
        <v>일반, 11KW, SINCOS, DOOR SUS, 2200, RIGHT HINGE</v>
      </c>
      <c r="N173" t="s">
        <v>99</v>
      </c>
      <c r="O173" t="s">
        <v>2229</v>
      </c>
      <c r="P173" t="s">
        <v>77</v>
      </c>
      <c r="Q173">
        <f t="shared" si="28"/>
        <v>2200</v>
      </c>
      <c r="R173" t="str">
        <f t="shared" si="23"/>
        <v>11KW</v>
      </c>
      <c r="S173" t="str">
        <f t="shared" si="24"/>
        <v>SINCOS</v>
      </c>
      <c r="T173" t="str">
        <f t="shared" si="29"/>
        <v>RIGHT HINGE</v>
      </c>
      <c r="U173" t="str">
        <f t="shared" si="25"/>
        <v>MRLDOOR만 SUS-HL일반형220011KWSINCOSRIGHT HINGE</v>
      </c>
      <c r="V173" t="str">
        <f t="shared" si="26"/>
        <v>20411105G2200</v>
      </c>
      <c r="W173" t="str">
        <f t="shared" si="27"/>
        <v>WBSS-SE 일반형</v>
      </c>
      <c r="X173" t="s">
        <v>1940</v>
      </c>
      <c r="Y173" s="1" t="s">
        <v>1941</v>
      </c>
      <c r="Z173" t="s">
        <v>1942</v>
      </c>
      <c r="AA173" t="s">
        <v>2271</v>
      </c>
    </row>
    <row r="174" spans="1:27">
      <c r="A174" s="32">
        <f t="shared" ca="1" si="19"/>
        <v>163</v>
      </c>
      <c r="B174" s="30" t="s">
        <v>2003</v>
      </c>
      <c r="C174" s="30" t="s">
        <v>746</v>
      </c>
      <c r="D174" s="30" t="s">
        <v>2272</v>
      </c>
      <c r="E174" s="30" t="s">
        <v>2268</v>
      </c>
      <c r="F174" s="30" t="s">
        <v>1933</v>
      </c>
      <c r="G174" s="30" t="s">
        <v>1018</v>
      </c>
      <c r="H174" s="30" t="s">
        <v>1934</v>
      </c>
      <c r="I174" s="30" t="s">
        <v>2228</v>
      </c>
      <c r="J174" s="30">
        <v>2200</v>
      </c>
      <c r="K174" s="30" t="s">
        <v>1853</v>
      </c>
      <c r="L174" s="6" t="str">
        <f t="shared" si="21"/>
        <v>일반, 15KW, SINCOS, DOOR SUS, 2200, RIGHT HINGE</v>
      </c>
      <c r="N174" t="s">
        <v>99</v>
      </c>
      <c r="O174" t="s">
        <v>2229</v>
      </c>
      <c r="P174" t="s">
        <v>77</v>
      </c>
      <c r="Q174">
        <f t="shared" si="28"/>
        <v>2200</v>
      </c>
      <c r="R174" t="str">
        <f t="shared" si="23"/>
        <v>15KW</v>
      </c>
      <c r="S174" t="str">
        <f t="shared" si="24"/>
        <v>SINCOS</v>
      </c>
      <c r="T174" t="str">
        <f t="shared" si="29"/>
        <v>RIGHT HINGE</v>
      </c>
      <c r="U174" t="str">
        <f t="shared" si="25"/>
        <v>MRLDOOR만 SUS-HL일반형220015KWSINCOSRIGHT HINGE</v>
      </c>
      <c r="V174" t="str">
        <f t="shared" si="26"/>
        <v>20411105G2300</v>
      </c>
      <c r="W174" t="str">
        <f t="shared" si="27"/>
        <v>WBSS-SE 일반형</v>
      </c>
      <c r="X174" t="s">
        <v>1945</v>
      </c>
      <c r="Y174" s="1" t="s">
        <v>1946</v>
      </c>
      <c r="Z174" t="s">
        <v>1947</v>
      </c>
      <c r="AA174" t="s">
        <v>2273</v>
      </c>
    </row>
    <row r="175" spans="1:27">
      <c r="A175" s="32">
        <f t="shared" ca="1" si="19"/>
        <v>164</v>
      </c>
      <c r="B175" s="30" t="s">
        <v>2003</v>
      </c>
      <c r="C175" s="30" t="s">
        <v>746</v>
      </c>
      <c r="D175" s="30" t="s">
        <v>2274</v>
      </c>
      <c r="E175" s="30" t="s">
        <v>2275</v>
      </c>
      <c r="F175" s="30" t="s">
        <v>1933</v>
      </c>
      <c r="G175" s="30" t="s">
        <v>1020</v>
      </c>
      <c r="H175" s="30" t="s">
        <v>1934</v>
      </c>
      <c r="I175" s="30" t="s">
        <v>2228</v>
      </c>
      <c r="J175" s="30">
        <v>2200</v>
      </c>
      <c r="K175" s="30" t="s">
        <v>1853</v>
      </c>
      <c r="L175" s="6" t="str">
        <f t="shared" si="21"/>
        <v>일반, 22KW, SINCOS, DOOR SUS, 2200, RIGHT HINGE</v>
      </c>
      <c r="N175" t="s">
        <v>99</v>
      </c>
      <c r="O175" t="s">
        <v>2229</v>
      </c>
      <c r="P175" t="s">
        <v>77</v>
      </c>
      <c r="Q175">
        <f t="shared" si="28"/>
        <v>2200</v>
      </c>
      <c r="R175" t="str">
        <f t="shared" si="23"/>
        <v>22KW</v>
      </c>
      <c r="S175" t="str">
        <f t="shared" si="24"/>
        <v>SINCOS</v>
      </c>
      <c r="T175" t="str">
        <f t="shared" si="29"/>
        <v>RIGHT HINGE</v>
      </c>
      <c r="U175" t="str">
        <f t="shared" si="25"/>
        <v>MRLDOOR만 SUS-HL일반형220022KWSINCOSRIGHT HINGE</v>
      </c>
      <c r="V175" t="str">
        <f t="shared" si="26"/>
        <v>20411105G2400</v>
      </c>
      <c r="W175" t="str">
        <f t="shared" si="27"/>
        <v>WBSS-SE 일반형</v>
      </c>
      <c r="X175" t="s">
        <v>1950</v>
      </c>
      <c r="Y175" s="1" t="s">
        <v>1951</v>
      </c>
      <c r="Z175" t="s">
        <v>1952</v>
      </c>
      <c r="AA175" t="s">
        <v>2276</v>
      </c>
    </row>
    <row r="176" spans="1:27">
      <c r="A176" s="32">
        <f t="shared" ca="1" si="19"/>
        <v>165</v>
      </c>
      <c r="B176" s="30" t="s">
        <v>2003</v>
      </c>
      <c r="C176" s="30" t="s">
        <v>746</v>
      </c>
      <c r="D176" s="30" t="s">
        <v>2277</v>
      </c>
      <c r="E176" s="30" t="s">
        <v>2278</v>
      </c>
      <c r="F176" s="30" t="s">
        <v>1933</v>
      </c>
      <c r="G176" s="30" t="s">
        <v>1013</v>
      </c>
      <c r="H176" s="30" t="s">
        <v>1934</v>
      </c>
      <c r="I176" s="30" t="s">
        <v>2228</v>
      </c>
      <c r="J176" s="30">
        <v>2400</v>
      </c>
      <c r="K176" s="30" t="s">
        <v>1853</v>
      </c>
      <c r="L176" s="6" t="str">
        <f t="shared" si="21"/>
        <v>일반, 7.5KW, SINCOS, DOOR SUS, 2400, RIGHT HINGE</v>
      </c>
      <c r="N176" t="s">
        <v>99</v>
      </c>
      <c r="O176" t="s">
        <v>2229</v>
      </c>
      <c r="P176" t="s">
        <v>77</v>
      </c>
      <c r="Q176">
        <f t="shared" si="28"/>
        <v>2400</v>
      </c>
      <c r="R176" t="str">
        <f t="shared" si="23"/>
        <v>7.5KW</v>
      </c>
      <c r="S176" t="str">
        <f t="shared" si="24"/>
        <v>SINCOS</v>
      </c>
      <c r="T176" t="str">
        <f t="shared" si="29"/>
        <v>RIGHT HINGE</v>
      </c>
      <c r="U176" t="str">
        <f t="shared" si="25"/>
        <v>MRLDOOR만 SUS-HL일반형24007.5KWSINCOSRIGHT HINGE</v>
      </c>
      <c r="V176" t="str">
        <f t="shared" si="26"/>
        <v>20411105G2600</v>
      </c>
      <c r="W176" t="str">
        <f t="shared" si="27"/>
        <v>WBSS-SE 일반형</v>
      </c>
      <c r="X176" t="s">
        <v>1935</v>
      </c>
      <c r="Y176" s="1" t="s">
        <v>1936</v>
      </c>
      <c r="Z176" t="s">
        <v>1937</v>
      </c>
      <c r="AA176" t="s">
        <v>2279</v>
      </c>
    </row>
    <row r="177" spans="1:27">
      <c r="A177" s="32">
        <f t="shared" ca="1" si="19"/>
        <v>166</v>
      </c>
      <c r="B177" s="30" t="s">
        <v>2003</v>
      </c>
      <c r="C177" s="30" t="s">
        <v>746</v>
      </c>
      <c r="D177" s="30" t="s">
        <v>2280</v>
      </c>
      <c r="E177" s="30" t="s">
        <v>2278</v>
      </c>
      <c r="F177" s="30" t="s">
        <v>1933</v>
      </c>
      <c r="G177" s="30" t="s">
        <v>1016</v>
      </c>
      <c r="H177" s="30" t="s">
        <v>1934</v>
      </c>
      <c r="I177" s="30" t="s">
        <v>2228</v>
      </c>
      <c r="J177" s="30">
        <v>2400</v>
      </c>
      <c r="K177" s="30" t="s">
        <v>1853</v>
      </c>
      <c r="L177" s="6" t="str">
        <f t="shared" si="21"/>
        <v>일반, 11KW, SINCOS, DOOR SUS, 2400, RIGHT HINGE</v>
      </c>
      <c r="N177" t="s">
        <v>99</v>
      </c>
      <c r="O177" t="s">
        <v>2229</v>
      </c>
      <c r="P177" t="s">
        <v>77</v>
      </c>
      <c r="Q177">
        <f t="shared" si="28"/>
        <v>2400</v>
      </c>
      <c r="R177" t="str">
        <f t="shared" si="23"/>
        <v>11KW</v>
      </c>
      <c r="S177" t="str">
        <f t="shared" si="24"/>
        <v>SINCOS</v>
      </c>
      <c r="T177" t="str">
        <f t="shared" si="29"/>
        <v>RIGHT HINGE</v>
      </c>
      <c r="U177" t="str">
        <f t="shared" si="25"/>
        <v>MRLDOOR만 SUS-HL일반형240011KWSINCOSRIGHT HINGE</v>
      </c>
      <c r="V177" t="str">
        <f t="shared" si="26"/>
        <v>20411105G2700</v>
      </c>
      <c r="W177" t="str">
        <f t="shared" si="27"/>
        <v>WBSS-SE 일반형</v>
      </c>
      <c r="X177" t="s">
        <v>1940</v>
      </c>
      <c r="Y177" s="1" t="s">
        <v>1941</v>
      </c>
      <c r="Z177" t="s">
        <v>1942</v>
      </c>
      <c r="AA177" t="s">
        <v>2281</v>
      </c>
    </row>
    <row r="178" spans="1:27">
      <c r="A178" s="32">
        <f t="shared" ca="1" si="19"/>
        <v>167</v>
      </c>
      <c r="B178" s="30" t="s">
        <v>2003</v>
      </c>
      <c r="C178" s="30" t="s">
        <v>746</v>
      </c>
      <c r="D178" s="30" t="s">
        <v>2282</v>
      </c>
      <c r="E178" s="30" t="s">
        <v>2278</v>
      </c>
      <c r="F178" s="30" t="s">
        <v>1933</v>
      </c>
      <c r="G178" s="30" t="s">
        <v>1018</v>
      </c>
      <c r="H178" s="30" t="s">
        <v>1934</v>
      </c>
      <c r="I178" s="30" t="s">
        <v>2228</v>
      </c>
      <c r="J178" s="30">
        <v>2400</v>
      </c>
      <c r="K178" s="30" t="s">
        <v>1853</v>
      </c>
      <c r="L178" s="6" t="str">
        <f t="shared" si="21"/>
        <v>일반, 15KW, SINCOS, DOOR SUS, 2400, RIGHT HINGE</v>
      </c>
      <c r="N178" t="s">
        <v>99</v>
      </c>
      <c r="O178" t="s">
        <v>2229</v>
      </c>
      <c r="P178" t="s">
        <v>77</v>
      </c>
      <c r="Q178">
        <f t="shared" si="28"/>
        <v>2400</v>
      </c>
      <c r="R178" t="str">
        <f t="shared" si="23"/>
        <v>15KW</v>
      </c>
      <c r="S178" t="str">
        <f t="shared" si="24"/>
        <v>SINCOS</v>
      </c>
      <c r="T178" t="str">
        <f t="shared" si="29"/>
        <v>RIGHT HINGE</v>
      </c>
      <c r="U178" t="str">
        <f t="shared" si="25"/>
        <v>MRLDOOR만 SUS-HL일반형240015KWSINCOSRIGHT HINGE</v>
      </c>
      <c r="V178" t="str">
        <f t="shared" si="26"/>
        <v>20411105G2800</v>
      </c>
      <c r="W178" t="str">
        <f t="shared" si="27"/>
        <v>WBSS-SE 일반형</v>
      </c>
      <c r="X178" t="s">
        <v>1945</v>
      </c>
      <c r="Y178" s="1" t="s">
        <v>1946</v>
      </c>
      <c r="Z178" t="s">
        <v>1947</v>
      </c>
      <c r="AA178" t="s">
        <v>2283</v>
      </c>
    </row>
    <row r="179" spans="1:27">
      <c r="A179" s="32">
        <f t="shared" ca="1" si="19"/>
        <v>168</v>
      </c>
      <c r="B179" s="30" t="s">
        <v>2003</v>
      </c>
      <c r="C179" s="30" t="s">
        <v>746</v>
      </c>
      <c r="D179" s="30" t="s">
        <v>2284</v>
      </c>
      <c r="E179" s="30" t="s">
        <v>2285</v>
      </c>
      <c r="F179" s="30" t="s">
        <v>1933</v>
      </c>
      <c r="G179" s="30" t="s">
        <v>1020</v>
      </c>
      <c r="H179" s="30" t="s">
        <v>1934</v>
      </c>
      <c r="I179" s="30" t="s">
        <v>2228</v>
      </c>
      <c r="J179" s="30">
        <v>2400</v>
      </c>
      <c r="K179" s="30" t="s">
        <v>1853</v>
      </c>
      <c r="L179" s="6" t="str">
        <f t="shared" si="21"/>
        <v>일반, 22KW, SINCOS, DOOR SUS, 2400, RIGHT HINGE</v>
      </c>
      <c r="N179" t="s">
        <v>99</v>
      </c>
      <c r="O179" t="s">
        <v>2229</v>
      </c>
      <c r="P179" t="s">
        <v>77</v>
      </c>
      <c r="Q179">
        <f t="shared" si="28"/>
        <v>2400</v>
      </c>
      <c r="R179" t="str">
        <f t="shared" si="23"/>
        <v>22KW</v>
      </c>
      <c r="S179" t="str">
        <f t="shared" si="24"/>
        <v>SINCOS</v>
      </c>
      <c r="T179" t="str">
        <f t="shared" si="29"/>
        <v>RIGHT HINGE</v>
      </c>
      <c r="U179" t="str">
        <f t="shared" si="25"/>
        <v>MRLDOOR만 SUS-HL일반형240022KWSINCOSRIGHT HINGE</v>
      </c>
      <c r="V179" t="str">
        <f t="shared" si="26"/>
        <v>20411105G2900</v>
      </c>
      <c r="W179" t="str">
        <f t="shared" si="27"/>
        <v>WBSS-SE 일반형</v>
      </c>
      <c r="X179" t="s">
        <v>1950</v>
      </c>
      <c r="Y179" s="1" t="s">
        <v>1951</v>
      </c>
      <c r="Z179" t="s">
        <v>1952</v>
      </c>
      <c r="AA179" t="s">
        <v>2286</v>
      </c>
    </row>
    <row r="180" spans="1:27">
      <c r="A180" s="35">
        <f t="shared" ca="1" si="19"/>
        <v>169</v>
      </c>
      <c r="B180" s="30" t="s">
        <v>2003</v>
      </c>
      <c r="C180" s="30" t="s">
        <v>746</v>
      </c>
      <c r="D180" s="30" t="s">
        <v>2287</v>
      </c>
      <c r="E180" s="30" t="s">
        <v>2227</v>
      </c>
      <c r="F180" s="30" t="s">
        <v>1933</v>
      </c>
      <c r="G180" s="30" t="s">
        <v>1013</v>
      </c>
      <c r="H180" s="30" t="s">
        <v>1955</v>
      </c>
      <c r="I180" s="30" t="s">
        <v>2228</v>
      </c>
      <c r="J180" s="30">
        <v>2100</v>
      </c>
      <c r="K180" s="30" t="s">
        <v>1845</v>
      </c>
      <c r="L180" s="6" t="str">
        <f t="shared" si="21"/>
        <v>일반, 7.5KW, INCREMENTAL, DOOR SUS, 2100, LEFT HINGE</v>
      </c>
      <c r="N180" t="s">
        <v>99</v>
      </c>
      <c r="O180" t="s">
        <v>2229</v>
      </c>
      <c r="P180" t="s">
        <v>77</v>
      </c>
      <c r="Q180">
        <f t="shared" si="28"/>
        <v>2100</v>
      </c>
      <c r="R180" t="str">
        <f t="shared" si="23"/>
        <v>7.5KW</v>
      </c>
      <c r="S180" t="str">
        <f t="shared" si="24"/>
        <v>INCREMENTAL</v>
      </c>
      <c r="T180" t="str">
        <f t="shared" si="29"/>
        <v>LEFT HINGE</v>
      </c>
      <c r="U180" t="str">
        <f t="shared" si="25"/>
        <v>MRLDOOR만 SUS-HL일반형21007.5KWINCREMENTALLEFT HINGE</v>
      </c>
      <c r="V180" t="str">
        <f t="shared" si="26"/>
        <v>20411105G3600</v>
      </c>
      <c r="W180" t="str">
        <f t="shared" si="27"/>
        <v>WBSS-SE 일반형</v>
      </c>
      <c r="X180" t="s">
        <v>1956</v>
      </c>
      <c r="Y180" s="1" t="s">
        <v>1957</v>
      </c>
      <c r="Z180" t="s">
        <v>1937</v>
      </c>
      <c r="AA180" t="s">
        <v>2230</v>
      </c>
    </row>
    <row r="181" spans="1:27">
      <c r="A181" s="35">
        <f t="shared" ca="1" si="19"/>
        <v>170</v>
      </c>
      <c r="B181" s="30" t="s">
        <v>2003</v>
      </c>
      <c r="C181" s="30" t="s">
        <v>746</v>
      </c>
      <c r="D181" s="30" t="s">
        <v>2288</v>
      </c>
      <c r="E181" s="30" t="s">
        <v>2227</v>
      </c>
      <c r="F181" s="30" t="s">
        <v>1933</v>
      </c>
      <c r="G181" s="30" t="s">
        <v>1016</v>
      </c>
      <c r="H181" s="30" t="s">
        <v>1955</v>
      </c>
      <c r="I181" s="30" t="s">
        <v>2228</v>
      </c>
      <c r="J181" s="30">
        <v>2100</v>
      </c>
      <c r="K181" s="30" t="s">
        <v>1845</v>
      </c>
      <c r="L181" s="6" t="str">
        <f t="shared" si="21"/>
        <v>일반, 11KW, INCREMENTAL, DOOR SUS, 2100, LEFT HINGE</v>
      </c>
      <c r="N181" t="s">
        <v>99</v>
      </c>
      <c r="O181" t="s">
        <v>2229</v>
      </c>
      <c r="P181" t="s">
        <v>77</v>
      </c>
      <c r="Q181">
        <f t="shared" si="28"/>
        <v>2100</v>
      </c>
      <c r="R181" t="str">
        <f t="shared" si="23"/>
        <v>11KW</v>
      </c>
      <c r="S181" t="str">
        <f t="shared" si="24"/>
        <v>INCREMENTAL</v>
      </c>
      <c r="T181" t="str">
        <f t="shared" si="29"/>
        <v>LEFT HINGE</v>
      </c>
      <c r="U181" t="str">
        <f t="shared" si="25"/>
        <v>MRLDOOR만 SUS-HL일반형210011KWINCREMENTALLEFT HINGE</v>
      </c>
      <c r="V181" t="str">
        <f t="shared" si="26"/>
        <v>20411105G3700</v>
      </c>
      <c r="W181" t="str">
        <f t="shared" si="27"/>
        <v>WBSS-SE 일반형</v>
      </c>
      <c r="X181" t="s">
        <v>1959</v>
      </c>
      <c r="Y181" s="1" t="s">
        <v>1960</v>
      </c>
      <c r="Z181" t="s">
        <v>1942</v>
      </c>
      <c r="AA181" t="s">
        <v>2232</v>
      </c>
    </row>
    <row r="182" spans="1:27">
      <c r="A182" s="35">
        <f t="shared" ca="1" si="19"/>
        <v>171</v>
      </c>
      <c r="B182" s="30" t="s">
        <v>2003</v>
      </c>
      <c r="C182" s="30" t="s">
        <v>746</v>
      </c>
      <c r="D182" s="30" t="s">
        <v>2289</v>
      </c>
      <c r="E182" s="30" t="s">
        <v>2227</v>
      </c>
      <c r="F182" s="30" t="s">
        <v>1933</v>
      </c>
      <c r="G182" s="30" t="s">
        <v>1018</v>
      </c>
      <c r="H182" s="30" t="s">
        <v>1955</v>
      </c>
      <c r="I182" s="30" t="s">
        <v>2228</v>
      </c>
      <c r="J182" s="30">
        <v>2100</v>
      </c>
      <c r="K182" s="30" t="s">
        <v>1845</v>
      </c>
      <c r="L182" s="6" t="str">
        <f t="shared" si="21"/>
        <v>일반, 15KW, INCREMENTAL, DOOR SUS, 2100, LEFT HINGE</v>
      </c>
      <c r="N182" t="s">
        <v>99</v>
      </c>
      <c r="O182" t="s">
        <v>2229</v>
      </c>
      <c r="P182" t="s">
        <v>77</v>
      </c>
      <c r="Q182">
        <f t="shared" si="28"/>
        <v>2100</v>
      </c>
      <c r="R182" t="str">
        <f t="shared" si="23"/>
        <v>15KW</v>
      </c>
      <c r="S182" t="str">
        <f t="shared" si="24"/>
        <v>INCREMENTAL</v>
      </c>
      <c r="T182" t="str">
        <f t="shared" si="29"/>
        <v>LEFT HINGE</v>
      </c>
      <c r="U182" t="str">
        <f t="shared" si="25"/>
        <v>MRLDOOR만 SUS-HL일반형210015KWINCREMENTALLEFT HINGE</v>
      </c>
      <c r="V182" t="str">
        <f t="shared" si="26"/>
        <v>20411105G3800</v>
      </c>
      <c r="W182" t="str">
        <f t="shared" si="27"/>
        <v>WBSS-SE 일반형</v>
      </c>
      <c r="X182" t="s">
        <v>1963</v>
      </c>
      <c r="Y182" s="1" t="s">
        <v>1964</v>
      </c>
      <c r="Z182" t="s">
        <v>1947</v>
      </c>
      <c r="AA182" t="s">
        <v>2234</v>
      </c>
    </row>
    <row r="183" spans="1:27">
      <c r="A183" s="35">
        <f t="shared" ca="1" si="19"/>
        <v>172</v>
      </c>
      <c r="B183" s="30" t="s">
        <v>2003</v>
      </c>
      <c r="C183" s="30" t="s">
        <v>746</v>
      </c>
      <c r="D183" s="30" t="s">
        <v>2290</v>
      </c>
      <c r="E183" s="30" t="s">
        <v>2236</v>
      </c>
      <c r="F183" s="30" t="s">
        <v>1933</v>
      </c>
      <c r="G183" s="30" t="s">
        <v>1020</v>
      </c>
      <c r="H183" s="30" t="s">
        <v>1955</v>
      </c>
      <c r="I183" s="30" t="s">
        <v>2228</v>
      </c>
      <c r="J183" s="30">
        <v>2100</v>
      </c>
      <c r="K183" s="30" t="s">
        <v>1845</v>
      </c>
      <c r="L183" s="6" t="str">
        <f t="shared" si="21"/>
        <v>일반, 22KW, INCREMENTAL, DOOR SUS, 2100, LEFT HINGE</v>
      </c>
      <c r="N183" t="s">
        <v>99</v>
      </c>
      <c r="O183" t="s">
        <v>2229</v>
      </c>
      <c r="P183" t="s">
        <v>77</v>
      </c>
      <c r="Q183">
        <f t="shared" si="28"/>
        <v>2100</v>
      </c>
      <c r="R183" t="str">
        <f t="shared" si="23"/>
        <v>22KW</v>
      </c>
      <c r="S183" t="str">
        <f t="shared" si="24"/>
        <v>INCREMENTAL</v>
      </c>
      <c r="T183" t="str">
        <f t="shared" si="29"/>
        <v>LEFT HINGE</v>
      </c>
      <c r="U183" t="str">
        <f t="shared" si="25"/>
        <v>MRLDOOR만 SUS-HL일반형210022KWINCREMENTALLEFT HINGE</v>
      </c>
      <c r="V183" t="str">
        <f t="shared" si="26"/>
        <v>20411105G3900</v>
      </c>
      <c r="W183" t="str">
        <f t="shared" si="27"/>
        <v>WBSS-SE 일반형</v>
      </c>
      <c r="X183" t="s">
        <v>1966</v>
      </c>
      <c r="Y183" s="1" t="s">
        <v>1967</v>
      </c>
      <c r="Z183" t="s">
        <v>1952</v>
      </c>
      <c r="AA183" t="s">
        <v>2237</v>
      </c>
    </row>
    <row r="184" spans="1:27">
      <c r="A184" s="35">
        <f t="shared" ca="1" si="19"/>
        <v>173</v>
      </c>
      <c r="B184" s="30" t="s">
        <v>2003</v>
      </c>
      <c r="C184" s="30" t="s">
        <v>746</v>
      </c>
      <c r="D184" s="30" t="s">
        <v>2291</v>
      </c>
      <c r="E184" s="30" t="s">
        <v>2239</v>
      </c>
      <c r="F184" s="30" t="s">
        <v>1933</v>
      </c>
      <c r="G184" s="30" t="s">
        <v>1013</v>
      </c>
      <c r="H184" s="30" t="s">
        <v>1955</v>
      </c>
      <c r="I184" s="30" t="s">
        <v>2228</v>
      </c>
      <c r="J184" s="30">
        <v>2200</v>
      </c>
      <c r="K184" s="30" t="s">
        <v>1845</v>
      </c>
      <c r="L184" s="6" t="str">
        <f t="shared" si="21"/>
        <v>일반, 7.5KW, INCREMENTAL, DOOR SUS, 2200, LEFT HINGE</v>
      </c>
      <c r="N184" t="s">
        <v>99</v>
      </c>
      <c r="O184" t="s">
        <v>2229</v>
      </c>
      <c r="P184" t="s">
        <v>77</v>
      </c>
      <c r="Q184">
        <f t="shared" si="28"/>
        <v>2200</v>
      </c>
      <c r="R184" t="str">
        <f t="shared" si="23"/>
        <v>7.5KW</v>
      </c>
      <c r="S184" t="str">
        <f t="shared" si="24"/>
        <v>INCREMENTAL</v>
      </c>
      <c r="T184" t="str">
        <f t="shared" si="29"/>
        <v>LEFT HINGE</v>
      </c>
      <c r="U184" t="str">
        <f t="shared" si="25"/>
        <v>MRLDOOR만 SUS-HL일반형22007.5KWINCREMENTALLEFT HINGE</v>
      </c>
      <c r="V184" t="str">
        <f t="shared" si="26"/>
        <v>20411105G4100</v>
      </c>
      <c r="W184" t="str">
        <f t="shared" si="27"/>
        <v>WBSS-SE 일반형</v>
      </c>
      <c r="X184" t="s">
        <v>1956</v>
      </c>
      <c r="Y184" s="1" t="s">
        <v>1957</v>
      </c>
      <c r="Z184" t="s">
        <v>1937</v>
      </c>
      <c r="AA184" t="s">
        <v>2240</v>
      </c>
    </row>
    <row r="185" spans="1:27">
      <c r="A185" s="35">
        <f t="shared" ca="1" si="19"/>
        <v>174</v>
      </c>
      <c r="B185" s="30" t="s">
        <v>2003</v>
      </c>
      <c r="C185" s="30" t="s">
        <v>746</v>
      </c>
      <c r="D185" s="30" t="s">
        <v>2292</v>
      </c>
      <c r="E185" s="30" t="s">
        <v>2239</v>
      </c>
      <c r="F185" s="30" t="s">
        <v>1933</v>
      </c>
      <c r="G185" s="30" t="s">
        <v>1016</v>
      </c>
      <c r="H185" s="30" t="s">
        <v>1955</v>
      </c>
      <c r="I185" s="30" t="s">
        <v>2228</v>
      </c>
      <c r="J185" s="30">
        <v>2200</v>
      </c>
      <c r="K185" s="30" t="s">
        <v>1845</v>
      </c>
      <c r="L185" s="6" t="str">
        <f t="shared" si="21"/>
        <v>일반, 11KW, INCREMENTAL, DOOR SUS, 2200, LEFT HINGE</v>
      </c>
      <c r="N185" t="s">
        <v>99</v>
      </c>
      <c r="O185" t="s">
        <v>2229</v>
      </c>
      <c r="P185" t="s">
        <v>77</v>
      </c>
      <c r="Q185">
        <f t="shared" si="28"/>
        <v>2200</v>
      </c>
      <c r="R185" t="str">
        <f t="shared" si="23"/>
        <v>11KW</v>
      </c>
      <c r="S185" t="str">
        <f t="shared" si="24"/>
        <v>INCREMENTAL</v>
      </c>
      <c r="T185" t="str">
        <f t="shared" si="29"/>
        <v>LEFT HINGE</v>
      </c>
      <c r="U185" t="str">
        <f t="shared" si="25"/>
        <v>MRLDOOR만 SUS-HL일반형220011KWINCREMENTALLEFT HINGE</v>
      </c>
      <c r="V185" t="str">
        <f t="shared" si="26"/>
        <v>20411105G4200</v>
      </c>
      <c r="W185" t="str">
        <f t="shared" si="27"/>
        <v>WBSS-SE 일반형</v>
      </c>
      <c r="X185" t="s">
        <v>1959</v>
      </c>
      <c r="Y185" s="1" t="s">
        <v>1960</v>
      </c>
      <c r="Z185" t="s">
        <v>1942</v>
      </c>
      <c r="AA185" t="s">
        <v>2242</v>
      </c>
    </row>
    <row r="186" spans="1:27">
      <c r="A186" s="35">
        <f t="shared" ca="1" si="19"/>
        <v>175</v>
      </c>
      <c r="B186" s="30" t="s">
        <v>2003</v>
      </c>
      <c r="C186" s="30" t="s">
        <v>746</v>
      </c>
      <c r="D186" s="30" t="s">
        <v>2293</v>
      </c>
      <c r="E186" s="30" t="s">
        <v>2239</v>
      </c>
      <c r="F186" s="30" t="s">
        <v>1933</v>
      </c>
      <c r="G186" s="30" t="s">
        <v>1018</v>
      </c>
      <c r="H186" s="30" t="s">
        <v>1955</v>
      </c>
      <c r="I186" s="30" t="s">
        <v>2228</v>
      </c>
      <c r="J186" s="30">
        <v>2200</v>
      </c>
      <c r="K186" s="30" t="s">
        <v>1845</v>
      </c>
      <c r="L186" s="6" t="str">
        <f t="shared" si="21"/>
        <v>일반, 15KW, INCREMENTAL, DOOR SUS, 2200, LEFT HINGE</v>
      </c>
      <c r="N186" t="s">
        <v>99</v>
      </c>
      <c r="O186" t="s">
        <v>2229</v>
      </c>
      <c r="P186" t="s">
        <v>77</v>
      </c>
      <c r="Q186">
        <f t="shared" si="28"/>
        <v>2200</v>
      </c>
      <c r="R186" t="str">
        <f t="shared" si="23"/>
        <v>15KW</v>
      </c>
      <c r="S186" t="str">
        <f t="shared" si="24"/>
        <v>INCREMENTAL</v>
      </c>
      <c r="T186" t="str">
        <f t="shared" si="29"/>
        <v>LEFT HINGE</v>
      </c>
      <c r="U186" t="str">
        <f t="shared" si="25"/>
        <v>MRLDOOR만 SUS-HL일반형220015KWINCREMENTALLEFT HINGE</v>
      </c>
      <c r="V186" t="str">
        <f t="shared" si="26"/>
        <v>20411105G4300</v>
      </c>
      <c r="W186" t="str">
        <f t="shared" si="27"/>
        <v>WBSS-SE 일반형</v>
      </c>
      <c r="X186" t="s">
        <v>1963</v>
      </c>
      <c r="Y186" s="1" t="s">
        <v>1964</v>
      </c>
      <c r="Z186" t="s">
        <v>1947</v>
      </c>
      <c r="AA186" t="s">
        <v>2244</v>
      </c>
    </row>
    <row r="187" spans="1:27">
      <c r="A187" s="35">
        <f t="shared" ca="1" si="19"/>
        <v>176</v>
      </c>
      <c r="B187" s="30" t="s">
        <v>2003</v>
      </c>
      <c r="C187" s="30" t="s">
        <v>746</v>
      </c>
      <c r="D187" s="30" t="s">
        <v>2294</v>
      </c>
      <c r="E187" s="30" t="s">
        <v>2246</v>
      </c>
      <c r="F187" s="30" t="s">
        <v>1933</v>
      </c>
      <c r="G187" s="30" t="s">
        <v>1020</v>
      </c>
      <c r="H187" s="30" t="s">
        <v>1955</v>
      </c>
      <c r="I187" s="30" t="s">
        <v>2228</v>
      </c>
      <c r="J187" s="30">
        <v>2200</v>
      </c>
      <c r="K187" s="30" t="s">
        <v>1845</v>
      </c>
      <c r="L187" s="6" t="str">
        <f t="shared" si="21"/>
        <v>일반, 22KW, INCREMENTAL, DOOR SUS, 2200, LEFT HINGE</v>
      </c>
      <c r="N187" t="s">
        <v>99</v>
      </c>
      <c r="O187" t="s">
        <v>2229</v>
      </c>
      <c r="P187" t="s">
        <v>77</v>
      </c>
      <c r="Q187">
        <f t="shared" si="28"/>
        <v>2200</v>
      </c>
      <c r="R187" t="str">
        <f t="shared" si="23"/>
        <v>22KW</v>
      </c>
      <c r="S187" t="str">
        <f t="shared" si="24"/>
        <v>INCREMENTAL</v>
      </c>
      <c r="T187" t="str">
        <f t="shared" si="29"/>
        <v>LEFT HINGE</v>
      </c>
      <c r="U187" t="str">
        <f t="shared" si="25"/>
        <v>MRLDOOR만 SUS-HL일반형220022KWINCREMENTALLEFT HINGE</v>
      </c>
      <c r="V187" t="str">
        <f t="shared" si="26"/>
        <v>20411105G4400</v>
      </c>
      <c r="W187" t="str">
        <f t="shared" si="27"/>
        <v>WBSS-SE 일반형</v>
      </c>
      <c r="X187" t="s">
        <v>1966</v>
      </c>
      <c r="Y187" s="1" t="s">
        <v>1967</v>
      </c>
      <c r="Z187" t="s">
        <v>1952</v>
      </c>
      <c r="AA187" t="s">
        <v>2247</v>
      </c>
    </row>
    <row r="188" spans="1:27">
      <c r="A188" s="35">
        <f t="shared" ca="1" si="19"/>
        <v>177</v>
      </c>
      <c r="B188" s="30" t="s">
        <v>2003</v>
      </c>
      <c r="C188" s="30" t="s">
        <v>746</v>
      </c>
      <c r="D188" s="30" t="s">
        <v>2295</v>
      </c>
      <c r="E188" s="30" t="s">
        <v>2249</v>
      </c>
      <c r="F188" s="30" t="s">
        <v>1933</v>
      </c>
      <c r="G188" s="30" t="s">
        <v>1013</v>
      </c>
      <c r="H188" s="30" t="s">
        <v>1955</v>
      </c>
      <c r="I188" s="30" t="s">
        <v>2228</v>
      </c>
      <c r="J188" s="30">
        <v>2400</v>
      </c>
      <c r="K188" s="30" t="s">
        <v>1845</v>
      </c>
      <c r="L188" s="6" t="str">
        <f t="shared" si="21"/>
        <v>일반, 7.5KW, INCREMENTAL, DOOR SUS, 2400, LEFT HINGE</v>
      </c>
      <c r="N188" t="s">
        <v>99</v>
      </c>
      <c r="O188" t="s">
        <v>2229</v>
      </c>
      <c r="P188" t="s">
        <v>77</v>
      </c>
      <c r="Q188">
        <f t="shared" si="28"/>
        <v>2400</v>
      </c>
      <c r="R188" t="str">
        <f t="shared" si="23"/>
        <v>7.5KW</v>
      </c>
      <c r="S188" t="str">
        <f t="shared" si="24"/>
        <v>INCREMENTAL</v>
      </c>
      <c r="T188" t="str">
        <f t="shared" si="29"/>
        <v>LEFT HINGE</v>
      </c>
      <c r="U188" t="str">
        <f t="shared" si="25"/>
        <v>MRLDOOR만 SUS-HL일반형24007.5KWINCREMENTALLEFT HINGE</v>
      </c>
      <c r="V188" t="str">
        <f t="shared" si="26"/>
        <v>20411105G4600</v>
      </c>
      <c r="W188" t="str">
        <f t="shared" si="27"/>
        <v>WBSS-SE 일반형</v>
      </c>
      <c r="X188" t="s">
        <v>1956</v>
      </c>
      <c r="Y188" s="1" t="s">
        <v>1957</v>
      </c>
      <c r="Z188" t="s">
        <v>1937</v>
      </c>
      <c r="AA188" t="s">
        <v>2250</v>
      </c>
    </row>
    <row r="189" spans="1:27">
      <c r="A189" s="35">
        <f t="shared" ca="1" si="19"/>
        <v>178</v>
      </c>
      <c r="B189" s="30" t="s">
        <v>2003</v>
      </c>
      <c r="C189" s="30" t="s">
        <v>746</v>
      </c>
      <c r="D189" s="30" t="s">
        <v>2296</v>
      </c>
      <c r="E189" s="30" t="s">
        <v>2249</v>
      </c>
      <c r="F189" s="30" t="s">
        <v>1933</v>
      </c>
      <c r="G189" s="30" t="s">
        <v>1016</v>
      </c>
      <c r="H189" s="30" t="s">
        <v>1955</v>
      </c>
      <c r="I189" s="30" t="s">
        <v>2228</v>
      </c>
      <c r="J189" s="30">
        <v>2400</v>
      </c>
      <c r="K189" s="30" t="s">
        <v>1845</v>
      </c>
      <c r="L189" s="6" t="str">
        <f t="shared" si="21"/>
        <v>일반, 11KW, INCREMENTAL, DOOR SUS, 2400, LEFT HINGE</v>
      </c>
      <c r="N189" t="s">
        <v>99</v>
      </c>
      <c r="O189" t="s">
        <v>2229</v>
      </c>
      <c r="P189" t="s">
        <v>77</v>
      </c>
      <c r="Q189">
        <f t="shared" si="28"/>
        <v>2400</v>
      </c>
      <c r="R189" t="str">
        <f t="shared" si="23"/>
        <v>11KW</v>
      </c>
      <c r="S189" t="str">
        <f t="shared" si="24"/>
        <v>INCREMENTAL</v>
      </c>
      <c r="T189" t="str">
        <f t="shared" si="29"/>
        <v>LEFT HINGE</v>
      </c>
      <c r="U189" t="str">
        <f t="shared" si="25"/>
        <v>MRLDOOR만 SUS-HL일반형240011KWINCREMENTALLEFT HINGE</v>
      </c>
      <c r="V189" t="str">
        <f t="shared" si="26"/>
        <v>20411105G4700</v>
      </c>
      <c r="W189" t="str">
        <f t="shared" si="27"/>
        <v>WBSS-SE 일반형</v>
      </c>
      <c r="X189" t="s">
        <v>1959</v>
      </c>
      <c r="Y189" s="1" t="s">
        <v>1960</v>
      </c>
      <c r="Z189" t="s">
        <v>1942</v>
      </c>
      <c r="AA189" t="s">
        <v>2252</v>
      </c>
    </row>
    <row r="190" spans="1:27">
      <c r="A190" s="35">
        <f t="shared" ca="1" si="19"/>
        <v>179</v>
      </c>
      <c r="B190" s="30" t="s">
        <v>2003</v>
      </c>
      <c r="C190" s="30" t="s">
        <v>746</v>
      </c>
      <c r="D190" s="30" t="s">
        <v>2297</v>
      </c>
      <c r="E190" s="30" t="s">
        <v>2249</v>
      </c>
      <c r="F190" s="30" t="s">
        <v>1933</v>
      </c>
      <c r="G190" s="30" t="s">
        <v>1018</v>
      </c>
      <c r="H190" s="30" t="s">
        <v>1955</v>
      </c>
      <c r="I190" s="30" t="s">
        <v>2228</v>
      </c>
      <c r="J190" s="30">
        <v>2400</v>
      </c>
      <c r="K190" s="30" t="s">
        <v>1845</v>
      </c>
      <c r="L190" s="6" t="str">
        <f t="shared" si="21"/>
        <v>일반, 15KW, INCREMENTAL, DOOR SUS, 2400, LEFT HINGE</v>
      </c>
      <c r="N190" t="s">
        <v>99</v>
      </c>
      <c r="O190" t="s">
        <v>2229</v>
      </c>
      <c r="P190" t="s">
        <v>77</v>
      </c>
      <c r="Q190">
        <f t="shared" si="28"/>
        <v>2400</v>
      </c>
      <c r="R190" t="str">
        <f t="shared" si="23"/>
        <v>15KW</v>
      </c>
      <c r="S190" t="str">
        <f t="shared" si="24"/>
        <v>INCREMENTAL</v>
      </c>
      <c r="T190" t="str">
        <f t="shared" si="29"/>
        <v>LEFT HINGE</v>
      </c>
      <c r="U190" t="str">
        <f t="shared" si="25"/>
        <v>MRLDOOR만 SUS-HL일반형240015KWINCREMENTALLEFT HINGE</v>
      </c>
      <c r="V190" t="str">
        <f t="shared" si="26"/>
        <v>20411105G4800</v>
      </c>
      <c r="W190" t="str">
        <f t="shared" si="27"/>
        <v>WBSS-SE 일반형</v>
      </c>
      <c r="X190" t="s">
        <v>1963</v>
      </c>
      <c r="Y190" s="1" t="s">
        <v>1964</v>
      </c>
      <c r="Z190" t="s">
        <v>1947</v>
      </c>
      <c r="AA190" t="s">
        <v>2254</v>
      </c>
    </row>
    <row r="191" spans="1:27">
      <c r="A191" s="35">
        <f t="shared" ca="1" si="19"/>
        <v>180</v>
      </c>
      <c r="B191" s="30" t="s">
        <v>2003</v>
      </c>
      <c r="C191" s="30" t="s">
        <v>746</v>
      </c>
      <c r="D191" s="30" t="s">
        <v>2298</v>
      </c>
      <c r="E191" s="30" t="s">
        <v>2256</v>
      </c>
      <c r="F191" s="30" t="s">
        <v>1933</v>
      </c>
      <c r="G191" s="30" t="s">
        <v>1020</v>
      </c>
      <c r="H191" s="30" t="s">
        <v>1955</v>
      </c>
      <c r="I191" s="30" t="s">
        <v>2228</v>
      </c>
      <c r="J191" s="30">
        <v>2400</v>
      </c>
      <c r="K191" s="30" t="s">
        <v>1845</v>
      </c>
      <c r="L191" s="6" t="str">
        <f t="shared" si="21"/>
        <v>일반, 22KW, INCREMENTAL, DOOR SUS, 2400, LEFT HINGE</v>
      </c>
      <c r="N191" t="s">
        <v>99</v>
      </c>
      <c r="O191" t="s">
        <v>2229</v>
      </c>
      <c r="P191" t="s">
        <v>77</v>
      </c>
      <c r="Q191">
        <f t="shared" si="28"/>
        <v>2400</v>
      </c>
      <c r="R191" t="str">
        <f t="shared" si="23"/>
        <v>22KW</v>
      </c>
      <c r="S191" t="str">
        <f t="shared" si="24"/>
        <v>INCREMENTAL</v>
      </c>
      <c r="T191" t="str">
        <f t="shared" si="29"/>
        <v>LEFT HINGE</v>
      </c>
      <c r="U191" t="str">
        <f t="shared" si="25"/>
        <v>MRLDOOR만 SUS-HL일반형240022KWINCREMENTALLEFT HINGE</v>
      </c>
      <c r="V191" t="str">
        <f t="shared" si="26"/>
        <v>20411105G4900</v>
      </c>
      <c r="W191" t="str">
        <f t="shared" si="27"/>
        <v>WBSS-SE 일반형</v>
      </c>
      <c r="X191" t="s">
        <v>1966</v>
      </c>
      <c r="Y191" s="1" t="s">
        <v>1967</v>
      </c>
      <c r="Z191" t="s">
        <v>1952</v>
      </c>
      <c r="AA191" t="s">
        <v>2257</v>
      </c>
    </row>
    <row r="192" spans="1:27">
      <c r="A192" s="35">
        <f t="shared" ca="1" si="19"/>
        <v>181</v>
      </c>
      <c r="B192" s="30" t="s">
        <v>2003</v>
      </c>
      <c r="C192" s="30" t="s">
        <v>746</v>
      </c>
      <c r="D192" s="30" t="s">
        <v>2299</v>
      </c>
      <c r="E192" s="30" t="s">
        <v>2258</v>
      </c>
      <c r="F192" s="30" t="s">
        <v>1933</v>
      </c>
      <c r="G192" s="30" t="s">
        <v>1013</v>
      </c>
      <c r="H192" s="30" t="s">
        <v>1955</v>
      </c>
      <c r="I192" s="30" t="s">
        <v>2228</v>
      </c>
      <c r="J192" s="30">
        <v>2100</v>
      </c>
      <c r="K192" s="30" t="s">
        <v>1853</v>
      </c>
      <c r="L192" s="6" t="str">
        <f t="shared" si="21"/>
        <v>일반, 7.5KW, INCREMENTAL, DOOR SUS, 2100, RIGHT HINGE</v>
      </c>
      <c r="N192" t="s">
        <v>99</v>
      </c>
      <c r="O192" t="s">
        <v>2229</v>
      </c>
      <c r="P192" t="s">
        <v>77</v>
      </c>
      <c r="Q192">
        <f t="shared" si="28"/>
        <v>2100</v>
      </c>
      <c r="R192" t="str">
        <f t="shared" si="23"/>
        <v>7.5KW</v>
      </c>
      <c r="S192" t="str">
        <f t="shared" si="24"/>
        <v>INCREMENTAL</v>
      </c>
      <c r="T192" t="str">
        <f t="shared" si="29"/>
        <v>RIGHT HINGE</v>
      </c>
      <c r="U192" t="str">
        <f t="shared" si="25"/>
        <v>MRLDOOR만 SUS-HL일반형21007.5KWINCREMENTALRIGHT HINGE</v>
      </c>
      <c r="V192" t="str">
        <f t="shared" si="26"/>
        <v>20411105G5100</v>
      </c>
      <c r="W192" t="str">
        <f t="shared" si="27"/>
        <v>WBSS-SE 일반형</v>
      </c>
      <c r="X192" t="s">
        <v>1956</v>
      </c>
      <c r="Y192" s="1" t="s">
        <v>1957</v>
      </c>
      <c r="Z192" t="s">
        <v>1937</v>
      </c>
      <c r="AA192" t="s">
        <v>2259</v>
      </c>
    </row>
    <row r="193" spans="1:27">
      <c r="A193" s="35">
        <f t="shared" ca="1" si="19"/>
        <v>182</v>
      </c>
      <c r="B193" s="30" t="s">
        <v>2003</v>
      </c>
      <c r="C193" s="30" t="s">
        <v>746</v>
      </c>
      <c r="D193" s="30" t="s">
        <v>2300</v>
      </c>
      <c r="E193" s="30" t="s">
        <v>2258</v>
      </c>
      <c r="F193" s="30" t="s">
        <v>1933</v>
      </c>
      <c r="G193" s="30" t="s">
        <v>1016</v>
      </c>
      <c r="H193" s="30" t="s">
        <v>1955</v>
      </c>
      <c r="I193" s="30" t="s">
        <v>2228</v>
      </c>
      <c r="J193" s="30">
        <v>2100</v>
      </c>
      <c r="K193" s="30" t="s">
        <v>1853</v>
      </c>
      <c r="L193" s="6" t="str">
        <f t="shared" si="21"/>
        <v>일반, 11KW, INCREMENTAL, DOOR SUS, 2100, RIGHT HINGE</v>
      </c>
      <c r="N193" t="s">
        <v>99</v>
      </c>
      <c r="O193" t="s">
        <v>2229</v>
      </c>
      <c r="P193" t="s">
        <v>77</v>
      </c>
      <c r="Q193">
        <f t="shared" si="28"/>
        <v>2100</v>
      </c>
      <c r="R193" t="str">
        <f t="shared" si="23"/>
        <v>11KW</v>
      </c>
      <c r="S193" t="str">
        <f t="shared" si="24"/>
        <v>INCREMENTAL</v>
      </c>
      <c r="T193" t="str">
        <f t="shared" si="29"/>
        <v>RIGHT HINGE</v>
      </c>
      <c r="U193" t="str">
        <f t="shared" si="25"/>
        <v>MRLDOOR만 SUS-HL일반형210011KWINCREMENTALRIGHT HINGE</v>
      </c>
      <c r="V193" t="str">
        <f t="shared" si="26"/>
        <v>20411105G5200</v>
      </c>
      <c r="W193" t="str">
        <f t="shared" si="27"/>
        <v>WBSS-SE 일반형</v>
      </c>
      <c r="X193" t="s">
        <v>1959</v>
      </c>
      <c r="Y193" s="1" t="s">
        <v>1960</v>
      </c>
      <c r="Z193" t="s">
        <v>1942</v>
      </c>
      <c r="AA193" t="s">
        <v>2261</v>
      </c>
    </row>
    <row r="194" spans="1:27">
      <c r="A194" s="35">
        <f t="shared" ca="1" si="19"/>
        <v>183</v>
      </c>
      <c r="B194" s="30" t="s">
        <v>2003</v>
      </c>
      <c r="C194" s="30" t="s">
        <v>746</v>
      </c>
      <c r="D194" s="30" t="s">
        <v>2301</v>
      </c>
      <c r="E194" s="30" t="s">
        <v>2258</v>
      </c>
      <c r="F194" s="30" t="s">
        <v>1933</v>
      </c>
      <c r="G194" s="30" t="s">
        <v>1018</v>
      </c>
      <c r="H194" s="30" t="s">
        <v>1955</v>
      </c>
      <c r="I194" s="30" t="s">
        <v>2228</v>
      </c>
      <c r="J194" s="30">
        <v>2100</v>
      </c>
      <c r="K194" s="30" t="s">
        <v>1853</v>
      </c>
      <c r="L194" s="6" t="str">
        <f t="shared" si="21"/>
        <v>일반, 15KW, INCREMENTAL, DOOR SUS, 2100, RIGHT HINGE</v>
      </c>
      <c r="N194" t="s">
        <v>99</v>
      </c>
      <c r="O194" t="s">
        <v>2229</v>
      </c>
      <c r="P194" t="s">
        <v>77</v>
      </c>
      <c r="Q194">
        <f t="shared" si="28"/>
        <v>2100</v>
      </c>
      <c r="R194" t="str">
        <f t="shared" si="23"/>
        <v>15KW</v>
      </c>
      <c r="S194" t="str">
        <f t="shared" si="24"/>
        <v>INCREMENTAL</v>
      </c>
      <c r="T194" t="str">
        <f t="shared" si="29"/>
        <v>RIGHT HINGE</v>
      </c>
      <c r="U194" t="str">
        <f t="shared" si="25"/>
        <v>MRLDOOR만 SUS-HL일반형210015KWINCREMENTALRIGHT HINGE</v>
      </c>
      <c r="V194" t="str">
        <f t="shared" si="26"/>
        <v>20411105G5300</v>
      </c>
      <c r="W194" t="str">
        <f t="shared" si="27"/>
        <v>WBSS-SE 일반형</v>
      </c>
      <c r="X194" t="s">
        <v>1963</v>
      </c>
      <c r="Y194" s="1" t="s">
        <v>1964</v>
      </c>
      <c r="Z194" t="s">
        <v>1947</v>
      </c>
      <c r="AA194" t="s">
        <v>2263</v>
      </c>
    </row>
    <row r="195" spans="1:27">
      <c r="A195" s="35">
        <f t="shared" ca="1" si="19"/>
        <v>184</v>
      </c>
      <c r="B195" s="30" t="s">
        <v>2003</v>
      </c>
      <c r="C195" s="30" t="s">
        <v>746</v>
      </c>
      <c r="D195" s="30" t="s">
        <v>2302</v>
      </c>
      <c r="E195" s="30" t="s">
        <v>2265</v>
      </c>
      <c r="F195" s="30" t="s">
        <v>1933</v>
      </c>
      <c r="G195" s="30" t="s">
        <v>1020</v>
      </c>
      <c r="H195" s="30" t="s">
        <v>1955</v>
      </c>
      <c r="I195" s="30" t="s">
        <v>2228</v>
      </c>
      <c r="J195" s="30">
        <v>2100</v>
      </c>
      <c r="K195" s="30" t="s">
        <v>1853</v>
      </c>
      <c r="L195" s="6" t="str">
        <f t="shared" si="21"/>
        <v>일반, 22KW, INCREMENTAL, DOOR SUS, 2100, RIGHT HINGE</v>
      </c>
      <c r="N195" t="s">
        <v>99</v>
      </c>
      <c r="O195" t="s">
        <v>2229</v>
      </c>
      <c r="P195" t="s">
        <v>77</v>
      </c>
      <c r="Q195">
        <f t="shared" si="28"/>
        <v>2100</v>
      </c>
      <c r="R195" t="str">
        <f t="shared" si="23"/>
        <v>22KW</v>
      </c>
      <c r="S195" t="str">
        <f t="shared" si="24"/>
        <v>INCREMENTAL</v>
      </c>
      <c r="T195" t="str">
        <f t="shared" si="29"/>
        <v>RIGHT HINGE</v>
      </c>
      <c r="U195" t="str">
        <f t="shared" si="25"/>
        <v>MRLDOOR만 SUS-HL일반형210022KWINCREMENTALRIGHT HINGE</v>
      </c>
      <c r="V195" t="str">
        <f t="shared" si="26"/>
        <v>20411105G5400</v>
      </c>
      <c r="W195" t="str">
        <f t="shared" si="27"/>
        <v>WBSS-SE 일반형</v>
      </c>
      <c r="X195" t="s">
        <v>1966</v>
      </c>
      <c r="Y195" s="1" t="s">
        <v>1967</v>
      </c>
      <c r="Z195" t="s">
        <v>1952</v>
      </c>
      <c r="AA195" t="s">
        <v>2266</v>
      </c>
    </row>
    <row r="196" spans="1:27">
      <c r="A196" s="35">
        <f t="shared" ca="1" si="19"/>
        <v>185</v>
      </c>
      <c r="B196" s="30" t="s">
        <v>2003</v>
      </c>
      <c r="C196" s="30" t="s">
        <v>746</v>
      </c>
      <c r="D196" s="30" t="s">
        <v>2303</v>
      </c>
      <c r="E196" s="30" t="s">
        <v>2268</v>
      </c>
      <c r="F196" s="30" t="s">
        <v>1933</v>
      </c>
      <c r="G196" s="30" t="s">
        <v>1013</v>
      </c>
      <c r="H196" s="30" t="s">
        <v>1955</v>
      </c>
      <c r="I196" s="30" t="s">
        <v>2228</v>
      </c>
      <c r="J196" s="30">
        <v>2200</v>
      </c>
      <c r="K196" s="30" t="s">
        <v>1853</v>
      </c>
      <c r="L196" s="6" t="str">
        <f t="shared" si="21"/>
        <v>일반, 7.5KW, INCREMENTAL, DOOR SUS, 2200, RIGHT HINGE</v>
      </c>
      <c r="N196" t="s">
        <v>99</v>
      </c>
      <c r="O196" t="s">
        <v>2229</v>
      </c>
      <c r="P196" t="s">
        <v>77</v>
      </c>
      <c r="Q196">
        <f t="shared" si="28"/>
        <v>2200</v>
      </c>
      <c r="R196" t="str">
        <f t="shared" si="23"/>
        <v>7.5KW</v>
      </c>
      <c r="S196" t="str">
        <f t="shared" si="24"/>
        <v>INCREMENTAL</v>
      </c>
      <c r="T196" t="str">
        <f t="shared" si="29"/>
        <v>RIGHT HINGE</v>
      </c>
      <c r="U196" t="str">
        <f t="shared" si="25"/>
        <v>MRLDOOR만 SUS-HL일반형22007.5KWINCREMENTALRIGHT HINGE</v>
      </c>
      <c r="V196" t="str">
        <f t="shared" si="26"/>
        <v>20411105G5600</v>
      </c>
      <c r="W196" t="str">
        <f t="shared" si="27"/>
        <v>WBSS-SE 일반형</v>
      </c>
      <c r="X196" t="s">
        <v>1956</v>
      </c>
      <c r="Y196" s="1" t="s">
        <v>1957</v>
      </c>
      <c r="Z196" t="s">
        <v>1937</v>
      </c>
      <c r="AA196" t="s">
        <v>2269</v>
      </c>
    </row>
    <row r="197" spans="1:27">
      <c r="A197" s="35">
        <f t="shared" ca="1" si="19"/>
        <v>186</v>
      </c>
      <c r="B197" s="30" t="s">
        <v>2003</v>
      </c>
      <c r="C197" s="30" t="s">
        <v>746</v>
      </c>
      <c r="D197" s="30" t="s">
        <v>2304</v>
      </c>
      <c r="E197" s="30" t="s">
        <v>2268</v>
      </c>
      <c r="F197" s="30" t="s">
        <v>1933</v>
      </c>
      <c r="G197" s="30" t="s">
        <v>1016</v>
      </c>
      <c r="H197" s="30" t="s">
        <v>1955</v>
      </c>
      <c r="I197" s="30" t="s">
        <v>2228</v>
      </c>
      <c r="J197" s="30">
        <v>2200</v>
      </c>
      <c r="K197" s="30" t="s">
        <v>1853</v>
      </c>
      <c r="L197" s="6" t="str">
        <f t="shared" si="21"/>
        <v>일반, 11KW, INCREMENTAL, DOOR SUS, 2200, RIGHT HINGE</v>
      </c>
      <c r="N197" t="s">
        <v>99</v>
      </c>
      <c r="O197" t="s">
        <v>2229</v>
      </c>
      <c r="P197" t="s">
        <v>77</v>
      </c>
      <c r="Q197">
        <f t="shared" si="28"/>
        <v>2200</v>
      </c>
      <c r="R197" t="str">
        <f t="shared" si="23"/>
        <v>11KW</v>
      </c>
      <c r="S197" t="str">
        <f t="shared" si="24"/>
        <v>INCREMENTAL</v>
      </c>
      <c r="T197" t="str">
        <f t="shared" si="29"/>
        <v>RIGHT HINGE</v>
      </c>
      <c r="U197" t="str">
        <f t="shared" si="25"/>
        <v>MRLDOOR만 SUS-HL일반형220011KWINCREMENTALRIGHT HINGE</v>
      </c>
      <c r="V197" t="str">
        <f t="shared" si="26"/>
        <v>20411105G5700</v>
      </c>
      <c r="W197" t="str">
        <f t="shared" si="27"/>
        <v>WBSS-SE 일반형</v>
      </c>
      <c r="X197" t="s">
        <v>1959</v>
      </c>
      <c r="Y197" s="1" t="s">
        <v>1960</v>
      </c>
      <c r="Z197" t="s">
        <v>1942</v>
      </c>
      <c r="AA197" t="s">
        <v>2271</v>
      </c>
    </row>
    <row r="198" spans="1:27">
      <c r="A198" s="35">
        <f t="shared" ca="1" si="19"/>
        <v>187</v>
      </c>
      <c r="B198" s="30" t="s">
        <v>2003</v>
      </c>
      <c r="C198" s="30" t="s">
        <v>746</v>
      </c>
      <c r="D198" s="30" t="s">
        <v>2305</v>
      </c>
      <c r="E198" s="30" t="s">
        <v>2268</v>
      </c>
      <c r="F198" s="30" t="s">
        <v>1933</v>
      </c>
      <c r="G198" s="30" t="s">
        <v>1018</v>
      </c>
      <c r="H198" s="30" t="s">
        <v>1955</v>
      </c>
      <c r="I198" s="30" t="s">
        <v>2228</v>
      </c>
      <c r="J198" s="30">
        <v>2200</v>
      </c>
      <c r="K198" s="30" t="s">
        <v>1853</v>
      </c>
      <c r="L198" s="6" t="str">
        <f t="shared" si="21"/>
        <v>일반, 15KW, INCREMENTAL, DOOR SUS, 2200, RIGHT HINGE</v>
      </c>
      <c r="N198" t="s">
        <v>99</v>
      </c>
      <c r="O198" t="s">
        <v>2229</v>
      </c>
      <c r="P198" t="s">
        <v>77</v>
      </c>
      <c r="Q198">
        <f t="shared" si="28"/>
        <v>2200</v>
      </c>
      <c r="R198" t="str">
        <f t="shared" si="23"/>
        <v>15KW</v>
      </c>
      <c r="S198" t="str">
        <f t="shared" si="24"/>
        <v>INCREMENTAL</v>
      </c>
      <c r="T198" t="str">
        <f t="shared" si="29"/>
        <v>RIGHT HINGE</v>
      </c>
      <c r="U198" t="str">
        <f t="shared" si="25"/>
        <v>MRLDOOR만 SUS-HL일반형220015KWINCREMENTALRIGHT HINGE</v>
      </c>
      <c r="V198" t="str">
        <f t="shared" si="26"/>
        <v>20411105G5800</v>
      </c>
      <c r="W198" t="str">
        <f t="shared" si="27"/>
        <v>WBSS-SE 일반형</v>
      </c>
      <c r="X198" t="s">
        <v>1963</v>
      </c>
      <c r="Y198" s="1" t="s">
        <v>1964</v>
      </c>
      <c r="Z198" t="s">
        <v>1947</v>
      </c>
      <c r="AA198" t="s">
        <v>2273</v>
      </c>
    </row>
    <row r="199" spans="1:27">
      <c r="A199" s="35">
        <f t="shared" ca="1" si="19"/>
        <v>188</v>
      </c>
      <c r="B199" s="30" t="s">
        <v>2003</v>
      </c>
      <c r="C199" s="30" t="s">
        <v>746</v>
      </c>
      <c r="D199" s="30" t="s">
        <v>2306</v>
      </c>
      <c r="E199" s="30" t="s">
        <v>2275</v>
      </c>
      <c r="F199" s="30" t="s">
        <v>1933</v>
      </c>
      <c r="G199" s="30" t="s">
        <v>1020</v>
      </c>
      <c r="H199" s="30" t="s">
        <v>1955</v>
      </c>
      <c r="I199" s="30" t="s">
        <v>2228</v>
      </c>
      <c r="J199" s="30">
        <v>2200</v>
      </c>
      <c r="K199" s="30" t="s">
        <v>1853</v>
      </c>
      <c r="L199" s="6" t="str">
        <f t="shared" si="21"/>
        <v>일반, 22KW, INCREMENTAL, DOOR SUS, 2200, RIGHT HINGE</v>
      </c>
      <c r="N199" t="s">
        <v>99</v>
      </c>
      <c r="O199" t="s">
        <v>2229</v>
      </c>
      <c r="P199" t="s">
        <v>77</v>
      </c>
      <c r="Q199">
        <f t="shared" si="28"/>
        <v>2200</v>
      </c>
      <c r="R199" t="str">
        <f t="shared" si="23"/>
        <v>22KW</v>
      </c>
      <c r="S199" t="str">
        <f t="shared" si="24"/>
        <v>INCREMENTAL</v>
      </c>
      <c r="T199" t="str">
        <f t="shared" si="29"/>
        <v>RIGHT HINGE</v>
      </c>
      <c r="U199" t="str">
        <f t="shared" si="25"/>
        <v>MRLDOOR만 SUS-HL일반형220022KWINCREMENTALRIGHT HINGE</v>
      </c>
      <c r="V199" t="str">
        <f t="shared" si="26"/>
        <v>20411105G5900</v>
      </c>
      <c r="W199" t="str">
        <f t="shared" si="27"/>
        <v>WBSS-SE 일반형</v>
      </c>
      <c r="X199" t="s">
        <v>1966</v>
      </c>
      <c r="Y199" s="1" t="s">
        <v>1967</v>
      </c>
      <c r="Z199" t="s">
        <v>1952</v>
      </c>
      <c r="AA199" t="s">
        <v>2276</v>
      </c>
    </row>
    <row r="200" spans="1:27">
      <c r="A200" s="35">
        <f t="shared" ca="1" si="19"/>
        <v>189</v>
      </c>
      <c r="B200" s="30" t="s">
        <v>2003</v>
      </c>
      <c r="C200" s="30" t="s">
        <v>746</v>
      </c>
      <c r="D200" s="30" t="s">
        <v>2307</v>
      </c>
      <c r="E200" s="30" t="s">
        <v>2278</v>
      </c>
      <c r="F200" s="30" t="s">
        <v>1933</v>
      </c>
      <c r="G200" s="30" t="s">
        <v>1013</v>
      </c>
      <c r="H200" s="30" t="s">
        <v>1955</v>
      </c>
      <c r="I200" s="30" t="s">
        <v>2228</v>
      </c>
      <c r="J200" s="30">
        <v>2400</v>
      </c>
      <c r="K200" s="30" t="s">
        <v>1853</v>
      </c>
      <c r="L200" s="6" t="str">
        <f t="shared" si="21"/>
        <v>일반, 7.5KW, INCREMENTAL, DOOR SUS, 2400, RIGHT HINGE</v>
      </c>
      <c r="N200" t="s">
        <v>99</v>
      </c>
      <c r="O200" t="s">
        <v>2229</v>
      </c>
      <c r="P200" t="s">
        <v>77</v>
      </c>
      <c r="Q200">
        <f t="shared" si="28"/>
        <v>2400</v>
      </c>
      <c r="R200" t="str">
        <f t="shared" si="23"/>
        <v>7.5KW</v>
      </c>
      <c r="S200" t="str">
        <f t="shared" si="24"/>
        <v>INCREMENTAL</v>
      </c>
      <c r="T200" t="str">
        <f t="shared" si="29"/>
        <v>RIGHT HINGE</v>
      </c>
      <c r="U200" t="str">
        <f t="shared" si="25"/>
        <v>MRLDOOR만 SUS-HL일반형24007.5KWINCREMENTALRIGHT HINGE</v>
      </c>
      <c r="V200" t="str">
        <f t="shared" si="26"/>
        <v>20411105G6100</v>
      </c>
      <c r="W200" t="str">
        <f t="shared" si="27"/>
        <v>WBSS-SE 일반형</v>
      </c>
      <c r="X200" t="s">
        <v>1956</v>
      </c>
      <c r="Y200" s="1" t="s">
        <v>1957</v>
      </c>
      <c r="Z200" t="s">
        <v>1937</v>
      </c>
      <c r="AA200" t="s">
        <v>2279</v>
      </c>
    </row>
    <row r="201" spans="1:27">
      <c r="A201" s="35">
        <f t="shared" ca="1" si="19"/>
        <v>190</v>
      </c>
      <c r="B201" s="30" t="s">
        <v>2003</v>
      </c>
      <c r="C201" s="30" t="s">
        <v>746</v>
      </c>
      <c r="D201" s="30" t="s">
        <v>2308</v>
      </c>
      <c r="E201" s="30" t="s">
        <v>2278</v>
      </c>
      <c r="F201" s="30" t="s">
        <v>1933</v>
      </c>
      <c r="G201" s="30" t="s">
        <v>1016</v>
      </c>
      <c r="H201" s="30" t="s">
        <v>1955</v>
      </c>
      <c r="I201" s="30" t="s">
        <v>2228</v>
      </c>
      <c r="J201" s="30">
        <v>2400</v>
      </c>
      <c r="K201" s="30" t="s">
        <v>1853</v>
      </c>
      <c r="L201" s="6" t="str">
        <f t="shared" si="21"/>
        <v>일반, 11KW, INCREMENTAL, DOOR SUS, 2400, RIGHT HINGE</v>
      </c>
      <c r="N201" t="s">
        <v>99</v>
      </c>
      <c r="O201" t="s">
        <v>2229</v>
      </c>
      <c r="P201" t="s">
        <v>77</v>
      </c>
      <c r="Q201">
        <f t="shared" si="28"/>
        <v>2400</v>
      </c>
      <c r="R201" t="str">
        <f t="shared" si="23"/>
        <v>11KW</v>
      </c>
      <c r="S201" t="str">
        <f t="shared" si="24"/>
        <v>INCREMENTAL</v>
      </c>
      <c r="T201" t="str">
        <f t="shared" si="29"/>
        <v>RIGHT HINGE</v>
      </c>
      <c r="U201" t="str">
        <f t="shared" si="25"/>
        <v>MRLDOOR만 SUS-HL일반형240011KWINCREMENTALRIGHT HINGE</v>
      </c>
      <c r="V201" t="str">
        <f t="shared" si="26"/>
        <v>20411105G6200</v>
      </c>
      <c r="W201" t="str">
        <f t="shared" si="27"/>
        <v>WBSS-SE 일반형</v>
      </c>
      <c r="X201" t="s">
        <v>1959</v>
      </c>
      <c r="Y201" s="1" t="s">
        <v>1960</v>
      </c>
      <c r="Z201" t="s">
        <v>1942</v>
      </c>
      <c r="AA201" t="s">
        <v>2281</v>
      </c>
    </row>
    <row r="202" spans="1:27">
      <c r="A202" s="35">
        <f t="shared" ca="1" si="19"/>
        <v>191</v>
      </c>
      <c r="B202" s="30" t="s">
        <v>2003</v>
      </c>
      <c r="C202" s="30" t="s">
        <v>746</v>
      </c>
      <c r="D202" s="30" t="s">
        <v>2309</v>
      </c>
      <c r="E202" s="30" t="s">
        <v>2278</v>
      </c>
      <c r="F202" s="30" t="s">
        <v>1933</v>
      </c>
      <c r="G202" s="30" t="s">
        <v>1018</v>
      </c>
      <c r="H202" s="30" t="s">
        <v>1955</v>
      </c>
      <c r="I202" s="30" t="s">
        <v>2228</v>
      </c>
      <c r="J202" s="30">
        <v>2400</v>
      </c>
      <c r="K202" s="30" t="s">
        <v>1853</v>
      </c>
      <c r="L202" s="6" t="str">
        <f t="shared" si="21"/>
        <v>일반, 15KW, INCREMENTAL, DOOR SUS, 2400, RIGHT HINGE</v>
      </c>
      <c r="N202" t="s">
        <v>99</v>
      </c>
      <c r="O202" t="s">
        <v>2229</v>
      </c>
      <c r="P202" t="s">
        <v>77</v>
      </c>
      <c r="Q202">
        <f t="shared" si="28"/>
        <v>2400</v>
      </c>
      <c r="R202" t="str">
        <f t="shared" si="23"/>
        <v>15KW</v>
      </c>
      <c r="S202" t="str">
        <f t="shared" si="24"/>
        <v>INCREMENTAL</v>
      </c>
      <c r="T202" t="str">
        <f t="shared" si="29"/>
        <v>RIGHT HINGE</v>
      </c>
      <c r="U202" t="str">
        <f t="shared" si="25"/>
        <v>MRLDOOR만 SUS-HL일반형240015KWINCREMENTALRIGHT HINGE</v>
      </c>
      <c r="V202" t="str">
        <f t="shared" si="26"/>
        <v>20411105G6300</v>
      </c>
      <c r="W202" t="str">
        <f t="shared" si="27"/>
        <v>WBSS-SE 일반형</v>
      </c>
      <c r="X202" t="s">
        <v>1963</v>
      </c>
      <c r="Y202" s="1" t="s">
        <v>1964</v>
      </c>
      <c r="Z202" t="s">
        <v>1947</v>
      </c>
      <c r="AA202" t="s">
        <v>2283</v>
      </c>
    </row>
    <row r="203" spans="1:27">
      <c r="A203" s="35">
        <f t="shared" ca="1" si="19"/>
        <v>192</v>
      </c>
      <c r="B203" s="30" t="s">
        <v>2003</v>
      </c>
      <c r="C203" s="30" t="s">
        <v>746</v>
      </c>
      <c r="D203" s="30" t="s">
        <v>2310</v>
      </c>
      <c r="E203" s="30" t="s">
        <v>2285</v>
      </c>
      <c r="F203" s="30" t="s">
        <v>1933</v>
      </c>
      <c r="G203" s="30" t="s">
        <v>1020</v>
      </c>
      <c r="H203" s="30" t="s">
        <v>1955</v>
      </c>
      <c r="I203" s="30" t="s">
        <v>2228</v>
      </c>
      <c r="J203" s="30">
        <v>2400</v>
      </c>
      <c r="K203" s="30" t="s">
        <v>1853</v>
      </c>
      <c r="L203" s="6" t="str">
        <f t="shared" si="21"/>
        <v>일반, 22KW, INCREMENTAL, DOOR SUS, 2400, RIGHT HINGE</v>
      </c>
      <c r="N203" t="s">
        <v>99</v>
      </c>
      <c r="O203" t="s">
        <v>2229</v>
      </c>
      <c r="P203" t="s">
        <v>77</v>
      </c>
      <c r="Q203">
        <f t="shared" si="28"/>
        <v>2400</v>
      </c>
      <c r="R203" t="str">
        <f t="shared" si="23"/>
        <v>22KW</v>
      </c>
      <c r="S203" t="str">
        <f t="shared" si="24"/>
        <v>INCREMENTAL</v>
      </c>
      <c r="T203" t="str">
        <f t="shared" si="29"/>
        <v>RIGHT HINGE</v>
      </c>
      <c r="U203" t="str">
        <f t="shared" si="25"/>
        <v>MRLDOOR만 SUS-HL일반형240022KWINCREMENTALRIGHT HINGE</v>
      </c>
      <c r="V203" t="str">
        <f t="shared" si="26"/>
        <v>20411105G6400</v>
      </c>
      <c r="W203" t="str">
        <f t="shared" si="27"/>
        <v>WBSS-SE 일반형</v>
      </c>
      <c r="X203" t="s">
        <v>1966</v>
      </c>
      <c r="Y203" s="1" t="s">
        <v>1967</v>
      </c>
      <c r="Z203" t="s">
        <v>1952</v>
      </c>
      <c r="AA203" t="s">
        <v>2286</v>
      </c>
    </row>
    <row r="204" spans="1:27">
      <c r="A204" s="34">
        <f t="shared" ref="A204:A259" ca="1" si="30">OFFSET(A204,-1,)+1</f>
        <v>193</v>
      </c>
      <c r="B204" s="29" t="s">
        <v>2099</v>
      </c>
      <c r="C204" s="29" t="s">
        <v>746</v>
      </c>
      <c r="D204" s="29" t="s">
        <v>1419</v>
      </c>
      <c r="E204" s="29" t="s">
        <v>2311</v>
      </c>
      <c r="F204" s="29" t="s">
        <v>1970</v>
      </c>
      <c r="G204" s="29" t="s">
        <v>1013</v>
      </c>
      <c r="H204" s="29" t="s">
        <v>1934</v>
      </c>
      <c r="I204" s="29" t="s">
        <v>2228</v>
      </c>
      <c r="J204" s="29">
        <v>2100</v>
      </c>
      <c r="K204" s="29" t="s">
        <v>1845</v>
      </c>
      <c r="L204" s="6" t="str">
        <f t="shared" si="21"/>
        <v>PWM, 7.5KW, SINCOS, DOOR SUS, 2100, LEFT HINGE</v>
      </c>
      <c r="N204" t="s">
        <v>99</v>
      </c>
      <c r="O204" t="s">
        <v>2229</v>
      </c>
      <c r="P204" t="s">
        <v>1971</v>
      </c>
      <c r="Q204">
        <f t="shared" si="28"/>
        <v>2100</v>
      </c>
      <c r="R204" t="str">
        <f t="shared" si="23"/>
        <v>7.5KW</v>
      </c>
      <c r="S204" t="str">
        <f t="shared" si="24"/>
        <v>SINCOS</v>
      </c>
      <c r="T204" t="str">
        <f t="shared" si="29"/>
        <v>LEFT HINGE</v>
      </c>
      <c r="U204" t="str">
        <f t="shared" si="25"/>
        <v>MRLDOOR만 SUS-HL회생형21007.5KWSINCOSLEFT HINGE</v>
      </c>
      <c r="V204" t="str">
        <f t="shared" si="26"/>
        <v>20411107G0100</v>
      </c>
      <c r="W204" t="str">
        <f t="shared" si="27"/>
        <v>WBSS-SE PWM</v>
      </c>
      <c r="X204" s="1" t="s">
        <v>2112</v>
      </c>
      <c r="Y204" s="1" t="s">
        <v>1973</v>
      </c>
      <c r="Z204" t="s">
        <v>1974</v>
      </c>
      <c r="AA204" t="s">
        <v>2312</v>
      </c>
    </row>
    <row r="205" spans="1:27">
      <c r="A205" s="32">
        <f t="shared" ca="1" si="30"/>
        <v>194</v>
      </c>
      <c r="B205" s="30" t="s">
        <v>2099</v>
      </c>
      <c r="C205" s="30" t="s">
        <v>746</v>
      </c>
      <c r="D205" s="30" t="s">
        <v>2313</v>
      </c>
      <c r="E205" s="30" t="s">
        <v>2311</v>
      </c>
      <c r="F205" s="30" t="s">
        <v>1970</v>
      </c>
      <c r="G205" s="30" t="s">
        <v>1016</v>
      </c>
      <c r="H205" s="30" t="s">
        <v>1934</v>
      </c>
      <c r="I205" s="30" t="s">
        <v>2228</v>
      </c>
      <c r="J205" s="30">
        <v>2100</v>
      </c>
      <c r="K205" s="30" t="s">
        <v>1845</v>
      </c>
      <c r="L205" s="6" t="str">
        <f t="shared" ref="L205:L259" si="31">F205&amp;", "&amp;G205&amp;", "&amp;H205&amp;", "&amp;I205&amp;", "&amp;J205&amp;", "&amp;K205</f>
        <v>PWM, 11KW, SINCOS, DOOR SUS, 2100, LEFT HINGE</v>
      </c>
      <c r="N205" t="s">
        <v>99</v>
      </c>
      <c r="O205" t="s">
        <v>2229</v>
      </c>
      <c r="P205" t="s">
        <v>1971</v>
      </c>
      <c r="Q205">
        <f t="shared" ref="Q205:Q251" si="32">J205</f>
        <v>2100</v>
      </c>
      <c r="R205" t="str">
        <f t="shared" ref="R205:R259" si="33">G205</f>
        <v>11KW</v>
      </c>
      <c r="S205" t="str">
        <f t="shared" ref="S205:S259" si="34">H205</f>
        <v>SINCOS</v>
      </c>
      <c r="T205" t="str">
        <f t="shared" ref="T205:T251" si="35">K205</f>
        <v>LEFT HINGE</v>
      </c>
      <c r="U205" t="str">
        <f t="shared" ref="U205:U259" si="36">N205&amp;O205&amp;P205&amp;Q205&amp;R205&amp;S205&amp;T205</f>
        <v>MRLDOOR만 SUS-HL회생형210011KWSINCOSLEFT HINGE</v>
      </c>
      <c r="V205" t="str">
        <f t="shared" ref="V205:V259" si="37">D205</f>
        <v>20411107G0200</v>
      </c>
      <c r="W205" t="str">
        <f t="shared" ref="W205:W259" si="38">B205</f>
        <v>WBSS-SE PWM</v>
      </c>
      <c r="X205" s="1" t="s">
        <v>2115</v>
      </c>
      <c r="Y205" s="1" t="s">
        <v>1978</v>
      </c>
      <c r="Z205" t="s">
        <v>1979</v>
      </c>
      <c r="AA205" t="s">
        <v>2314</v>
      </c>
    </row>
    <row r="206" spans="1:27">
      <c r="A206" s="32">
        <f t="shared" ca="1" si="30"/>
        <v>195</v>
      </c>
      <c r="B206" s="30" t="s">
        <v>2099</v>
      </c>
      <c r="C206" s="30" t="s">
        <v>746</v>
      </c>
      <c r="D206" s="30" t="s">
        <v>2315</v>
      </c>
      <c r="E206" s="30" t="s">
        <v>2311</v>
      </c>
      <c r="F206" s="30" t="s">
        <v>1970</v>
      </c>
      <c r="G206" s="30" t="s">
        <v>1018</v>
      </c>
      <c r="H206" s="30" t="s">
        <v>1934</v>
      </c>
      <c r="I206" s="30" t="s">
        <v>2228</v>
      </c>
      <c r="J206" s="30">
        <v>2100</v>
      </c>
      <c r="K206" s="30" t="s">
        <v>1845</v>
      </c>
      <c r="L206" s="6" t="str">
        <f t="shared" si="31"/>
        <v>PWM, 15KW, SINCOS, DOOR SUS, 2100, LEFT HINGE</v>
      </c>
      <c r="N206" t="s">
        <v>99</v>
      </c>
      <c r="O206" t="s">
        <v>2229</v>
      </c>
      <c r="P206" t="s">
        <v>1971</v>
      </c>
      <c r="Q206">
        <f t="shared" si="32"/>
        <v>2100</v>
      </c>
      <c r="R206" t="str">
        <f t="shared" si="33"/>
        <v>15KW</v>
      </c>
      <c r="S206" t="str">
        <f t="shared" si="34"/>
        <v>SINCOS</v>
      </c>
      <c r="T206" t="str">
        <f t="shared" si="35"/>
        <v>LEFT HINGE</v>
      </c>
      <c r="U206" t="str">
        <f t="shared" si="36"/>
        <v>MRLDOOR만 SUS-HL회생형210015KWSINCOSLEFT HINGE</v>
      </c>
      <c r="V206" t="str">
        <f t="shared" si="37"/>
        <v>20411107G0300</v>
      </c>
      <c r="W206" t="str">
        <f t="shared" si="38"/>
        <v>WBSS-SE PWM</v>
      </c>
      <c r="X206" s="1" t="s">
        <v>2118</v>
      </c>
      <c r="Y206" s="1" t="s">
        <v>1983</v>
      </c>
      <c r="Z206" t="s">
        <v>1984</v>
      </c>
      <c r="AA206" t="s">
        <v>2316</v>
      </c>
    </row>
    <row r="207" spans="1:27">
      <c r="A207" s="32">
        <f t="shared" ca="1" si="30"/>
        <v>196</v>
      </c>
      <c r="B207" s="30" t="s">
        <v>2099</v>
      </c>
      <c r="C207" s="30" t="s">
        <v>746</v>
      </c>
      <c r="D207" s="30" t="s">
        <v>2317</v>
      </c>
      <c r="E207" s="30" t="s">
        <v>2318</v>
      </c>
      <c r="F207" s="30" t="s">
        <v>1970</v>
      </c>
      <c r="G207" s="30" t="s">
        <v>1020</v>
      </c>
      <c r="H207" s="30" t="s">
        <v>1934</v>
      </c>
      <c r="I207" s="30" t="s">
        <v>2228</v>
      </c>
      <c r="J207" s="30">
        <v>2100</v>
      </c>
      <c r="K207" s="30" t="s">
        <v>1845</v>
      </c>
      <c r="L207" s="6" t="str">
        <f t="shared" si="31"/>
        <v>PWM, 22KW, SINCOS, DOOR SUS, 2100, LEFT HINGE</v>
      </c>
      <c r="N207" t="s">
        <v>99</v>
      </c>
      <c r="O207" t="s">
        <v>2229</v>
      </c>
      <c r="P207" t="s">
        <v>1971</v>
      </c>
      <c r="Q207">
        <f t="shared" si="32"/>
        <v>2100</v>
      </c>
      <c r="R207" t="str">
        <f t="shared" si="33"/>
        <v>22KW</v>
      </c>
      <c r="S207" t="str">
        <f t="shared" si="34"/>
        <v>SINCOS</v>
      </c>
      <c r="T207" t="str">
        <f t="shared" si="35"/>
        <v>LEFT HINGE</v>
      </c>
      <c r="U207" t="str">
        <f t="shared" si="36"/>
        <v>MRLDOOR만 SUS-HL회생형210022KWSINCOSLEFT HINGE</v>
      </c>
      <c r="V207" t="str">
        <f t="shared" si="37"/>
        <v>20411107G0400</v>
      </c>
      <c r="W207" t="str">
        <f t="shared" si="38"/>
        <v>WBSS-SE PWM</v>
      </c>
      <c r="X207" s="1" t="s">
        <v>2122</v>
      </c>
      <c r="Y207" s="1" t="s">
        <v>1988</v>
      </c>
      <c r="Z207" t="s">
        <v>1989</v>
      </c>
      <c r="AA207" t="s">
        <v>2319</v>
      </c>
    </row>
    <row r="208" spans="1:27">
      <c r="A208" s="32">
        <f t="shared" ca="1" si="30"/>
        <v>197</v>
      </c>
      <c r="B208" s="30" t="s">
        <v>2099</v>
      </c>
      <c r="C208" s="30" t="s">
        <v>746</v>
      </c>
      <c r="D208" s="30" t="s">
        <v>2320</v>
      </c>
      <c r="E208" s="30" t="s">
        <v>2321</v>
      </c>
      <c r="F208" s="30" t="s">
        <v>1970</v>
      </c>
      <c r="G208" s="30" t="s">
        <v>1013</v>
      </c>
      <c r="H208" s="30" t="s">
        <v>1934</v>
      </c>
      <c r="I208" s="30" t="s">
        <v>2228</v>
      </c>
      <c r="J208" s="30">
        <v>2200</v>
      </c>
      <c r="K208" s="30" t="s">
        <v>1845</v>
      </c>
      <c r="L208" s="6" t="str">
        <f t="shared" si="31"/>
        <v>PWM, 7.5KW, SINCOS, DOOR SUS, 2200, LEFT HINGE</v>
      </c>
      <c r="N208" t="s">
        <v>99</v>
      </c>
      <c r="O208" t="s">
        <v>2229</v>
      </c>
      <c r="P208" t="s">
        <v>1971</v>
      </c>
      <c r="Q208">
        <f t="shared" si="32"/>
        <v>2200</v>
      </c>
      <c r="R208" t="str">
        <f t="shared" si="33"/>
        <v>7.5KW</v>
      </c>
      <c r="S208" t="str">
        <f t="shared" si="34"/>
        <v>SINCOS</v>
      </c>
      <c r="T208" t="str">
        <f t="shared" si="35"/>
        <v>LEFT HINGE</v>
      </c>
      <c r="U208" t="str">
        <f t="shared" si="36"/>
        <v>MRLDOOR만 SUS-HL회생형22007.5KWSINCOSLEFT HINGE</v>
      </c>
      <c r="V208" t="str">
        <f t="shared" si="37"/>
        <v>20411107G0500</v>
      </c>
      <c r="W208" t="str">
        <f t="shared" si="38"/>
        <v>WBSS-SE PWM</v>
      </c>
      <c r="X208" s="1" t="s">
        <v>2112</v>
      </c>
      <c r="Y208" s="1" t="s">
        <v>1973</v>
      </c>
      <c r="Z208" t="s">
        <v>1974</v>
      </c>
      <c r="AA208" t="s">
        <v>2322</v>
      </c>
    </row>
    <row r="209" spans="1:27">
      <c r="A209" s="32">
        <f t="shared" ca="1" si="30"/>
        <v>198</v>
      </c>
      <c r="B209" s="30" t="s">
        <v>2099</v>
      </c>
      <c r="C209" s="30" t="s">
        <v>746</v>
      </c>
      <c r="D209" s="30" t="s">
        <v>2323</v>
      </c>
      <c r="E209" s="30" t="s">
        <v>2321</v>
      </c>
      <c r="F209" s="30" t="s">
        <v>1970</v>
      </c>
      <c r="G209" s="30" t="s">
        <v>1016</v>
      </c>
      <c r="H209" s="30" t="s">
        <v>1934</v>
      </c>
      <c r="I209" s="30" t="s">
        <v>2228</v>
      </c>
      <c r="J209" s="30">
        <v>2200</v>
      </c>
      <c r="K209" s="30" t="s">
        <v>1845</v>
      </c>
      <c r="L209" s="6" t="str">
        <f t="shared" si="31"/>
        <v>PWM, 11KW, SINCOS, DOOR SUS, 2200, LEFT HINGE</v>
      </c>
      <c r="N209" t="s">
        <v>99</v>
      </c>
      <c r="O209" t="s">
        <v>2229</v>
      </c>
      <c r="P209" t="s">
        <v>1971</v>
      </c>
      <c r="Q209">
        <f t="shared" si="32"/>
        <v>2200</v>
      </c>
      <c r="R209" t="str">
        <f t="shared" si="33"/>
        <v>11KW</v>
      </c>
      <c r="S209" t="str">
        <f t="shared" si="34"/>
        <v>SINCOS</v>
      </c>
      <c r="T209" t="str">
        <f t="shared" si="35"/>
        <v>LEFT HINGE</v>
      </c>
      <c r="U209" t="str">
        <f t="shared" si="36"/>
        <v>MRLDOOR만 SUS-HL회생형220011KWSINCOSLEFT HINGE</v>
      </c>
      <c r="V209" t="str">
        <f t="shared" si="37"/>
        <v>20411107G0600</v>
      </c>
      <c r="W209" t="str">
        <f t="shared" si="38"/>
        <v>WBSS-SE PWM</v>
      </c>
      <c r="X209" s="1" t="s">
        <v>2115</v>
      </c>
      <c r="Y209" s="1" t="s">
        <v>1978</v>
      </c>
      <c r="Z209" t="s">
        <v>1979</v>
      </c>
      <c r="AA209" t="s">
        <v>2324</v>
      </c>
    </row>
    <row r="210" spans="1:27">
      <c r="A210" s="32">
        <f t="shared" ca="1" si="30"/>
        <v>199</v>
      </c>
      <c r="B210" s="30" t="s">
        <v>2099</v>
      </c>
      <c r="C210" s="30" t="s">
        <v>746</v>
      </c>
      <c r="D210" s="30" t="s">
        <v>2325</v>
      </c>
      <c r="E210" s="30" t="s">
        <v>2321</v>
      </c>
      <c r="F210" s="30" t="s">
        <v>1970</v>
      </c>
      <c r="G210" s="30" t="s">
        <v>1018</v>
      </c>
      <c r="H210" s="30" t="s">
        <v>1934</v>
      </c>
      <c r="I210" s="30" t="s">
        <v>2228</v>
      </c>
      <c r="J210" s="30">
        <v>2200</v>
      </c>
      <c r="K210" s="30" t="s">
        <v>1845</v>
      </c>
      <c r="L210" s="6" t="str">
        <f t="shared" si="31"/>
        <v>PWM, 15KW, SINCOS, DOOR SUS, 2200, LEFT HINGE</v>
      </c>
      <c r="N210" t="s">
        <v>99</v>
      </c>
      <c r="O210" t="s">
        <v>2229</v>
      </c>
      <c r="P210" t="s">
        <v>1971</v>
      </c>
      <c r="Q210">
        <f t="shared" si="32"/>
        <v>2200</v>
      </c>
      <c r="R210" t="str">
        <f t="shared" si="33"/>
        <v>15KW</v>
      </c>
      <c r="S210" t="str">
        <f t="shared" si="34"/>
        <v>SINCOS</v>
      </c>
      <c r="T210" t="str">
        <f t="shared" si="35"/>
        <v>LEFT HINGE</v>
      </c>
      <c r="U210" t="str">
        <f t="shared" si="36"/>
        <v>MRLDOOR만 SUS-HL회생형220015KWSINCOSLEFT HINGE</v>
      </c>
      <c r="V210" t="str">
        <f t="shared" si="37"/>
        <v>20411107G0700</v>
      </c>
      <c r="W210" t="str">
        <f t="shared" si="38"/>
        <v>WBSS-SE PWM</v>
      </c>
      <c r="X210" s="1" t="s">
        <v>2118</v>
      </c>
      <c r="Y210" s="1" t="s">
        <v>1983</v>
      </c>
      <c r="Z210" t="s">
        <v>1984</v>
      </c>
      <c r="AA210" t="s">
        <v>2326</v>
      </c>
    </row>
    <row r="211" spans="1:27">
      <c r="A211" s="32">
        <f t="shared" ca="1" si="30"/>
        <v>200</v>
      </c>
      <c r="B211" s="30" t="s">
        <v>2099</v>
      </c>
      <c r="C211" s="30" t="s">
        <v>746</v>
      </c>
      <c r="D211" s="30" t="s">
        <v>2327</v>
      </c>
      <c r="E211" s="30" t="s">
        <v>2328</v>
      </c>
      <c r="F211" s="30" t="s">
        <v>1970</v>
      </c>
      <c r="G211" s="30" t="s">
        <v>1020</v>
      </c>
      <c r="H211" s="30" t="s">
        <v>1934</v>
      </c>
      <c r="I211" s="30" t="s">
        <v>2228</v>
      </c>
      <c r="J211" s="30">
        <v>2200</v>
      </c>
      <c r="K211" s="30" t="s">
        <v>1845</v>
      </c>
      <c r="L211" s="6" t="str">
        <f t="shared" si="31"/>
        <v>PWM, 22KW, SINCOS, DOOR SUS, 2200, LEFT HINGE</v>
      </c>
      <c r="N211" t="s">
        <v>99</v>
      </c>
      <c r="O211" t="s">
        <v>2229</v>
      </c>
      <c r="P211" t="s">
        <v>1971</v>
      </c>
      <c r="Q211">
        <f t="shared" si="32"/>
        <v>2200</v>
      </c>
      <c r="R211" t="str">
        <f t="shared" si="33"/>
        <v>22KW</v>
      </c>
      <c r="S211" t="str">
        <f t="shared" si="34"/>
        <v>SINCOS</v>
      </c>
      <c r="T211" t="str">
        <f t="shared" si="35"/>
        <v>LEFT HINGE</v>
      </c>
      <c r="U211" t="str">
        <f t="shared" si="36"/>
        <v>MRLDOOR만 SUS-HL회생형220022KWSINCOSLEFT HINGE</v>
      </c>
      <c r="V211" t="str">
        <f t="shared" si="37"/>
        <v>20411107G0800</v>
      </c>
      <c r="W211" t="str">
        <f t="shared" si="38"/>
        <v>WBSS-SE PWM</v>
      </c>
      <c r="X211" s="1" t="s">
        <v>2122</v>
      </c>
      <c r="Y211" s="1" t="s">
        <v>1988</v>
      </c>
      <c r="Z211" t="s">
        <v>1989</v>
      </c>
      <c r="AA211" t="s">
        <v>2329</v>
      </c>
    </row>
    <row r="212" spans="1:27">
      <c r="A212" s="32">
        <f t="shared" ca="1" si="30"/>
        <v>201</v>
      </c>
      <c r="B212" s="30" t="s">
        <v>2099</v>
      </c>
      <c r="C212" s="30" t="s">
        <v>746</v>
      </c>
      <c r="D212" s="30" t="s">
        <v>2330</v>
      </c>
      <c r="E212" s="30" t="s">
        <v>2331</v>
      </c>
      <c r="F212" s="30" t="s">
        <v>1970</v>
      </c>
      <c r="G212" s="30" t="s">
        <v>1013</v>
      </c>
      <c r="H212" s="30" t="s">
        <v>1934</v>
      </c>
      <c r="I212" s="30" t="s">
        <v>2228</v>
      </c>
      <c r="J212" s="30">
        <v>2400</v>
      </c>
      <c r="K212" s="30" t="s">
        <v>1845</v>
      </c>
      <c r="L212" s="6" t="str">
        <f t="shared" si="31"/>
        <v>PWM, 7.5KW, SINCOS, DOOR SUS, 2400, LEFT HINGE</v>
      </c>
      <c r="N212" t="s">
        <v>99</v>
      </c>
      <c r="O212" t="s">
        <v>2229</v>
      </c>
      <c r="P212" t="s">
        <v>1971</v>
      </c>
      <c r="Q212">
        <f t="shared" si="32"/>
        <v>2400</v>
      </c>
      <c r="R212" t="str">
        <f t="shared" si="33"/>
        <v>7.5KW</v>
      </c>
      <c r="S212" t="str">
        <f t="shared" si="34"/>
        <v>SINCOS</v>
      </c>
      <c r="T212" t="str">
        <f t="shared" si="35"/>
        <v>LEFT HINGE</v>
      </c>
      <c r="U212" t="str">
        <f t="shared" si="36"/>
        <v>MRLDOOR만 SUS-HL회생형24007.5KWSINCOSLEFT HINGE</v>
      </c>
      <c r="V212" t="str">
        <f t="shared" si="37"/>
        <v>20411107G0900</v>
      </c>
      <c r="W212" t="str">
        <f t="shared" si="38"/>
        <v>WBSS-SE PWM</v>
      </c>
      <c r="X212" s="1" t="s">
        <v>2112</v>
      </c>
      <c r="Y212" s="1" t="s">
        <v>1973</v>
      </c>
      <c r="Z212" t="s">
        <v>1974</v>
      </c>
      <c r="AA212" t="s">
        <v>2332</v>
      </c>
    </row>
    <row r="213" spans="1:27">
      <c r="A213" s="32">
        <f t="shared" ca="1" si="30"/>
        <v>202</v>
      </c>
      <c r="B213" s="30" t="s">
        <v>2099</v>
      </c>
      <c r="C213" s="30" t="s">
        <v>746</v>
      </c>
      <c r="D213" s="30" t="s">
        <v>2333</v>
      </c>
      <c r="E213" s="30" t="s">
        <v>2331</v>
      </c>
      <c r="F213" s="30" t="s">
        <v>1970</v>
      </c>
      <c r="G213" s="30" t="s">
        <v>1016</v>
      </c>
      <c r="H213" s="30" t="s">
        <v>1934</v>
      </c>
      <c r="I213" s="30" t="s">
        <v>2228</v>
      </c>
      <c r="J213" s="30">
        <v>2400</v>
      </c>
      <c r="K213" s="30" t="s">
        <v>1845</v>
      </c>
      <c r="L213" s="6" t="str">
        <f t="shared" si="31"/>
        <v>PWM, 11KW, SINCOS, DOOR SUS, 2400, LEFT HINGE</v>
      </c>
      <c r="N213" t="s">
        <v>99</v>
      </c>
      <c r="O213" t="s">
        <v>2229</v>
      </c>
      <c r="P213" t="s">
        <v>1971</v>
      </c>
      <c r="Q213">
        <f t="shared" si="32"/>
        <v>2400</v>
      </c>
      <c r="R213" t="str">
        <f t="shared" si="33"/>
        <v>11KW</v>
      </c>
      <c r="S213" t="str">
        <f t="shared" si="34"/>
        <v>SINCOS</v>
      </c>
      <c r="T213" t="str">
        <f t="shared" si="35"/>
        <v>LEFT HINGE</v>
      </c>
      <c r="U213" t="str">
        <f t="shared" si="36"/>
        <v>MRLDOOR만 SUS-HL회생형240011KWSINCOSLEFT HINGE</v>
      </c>
      <c r="V213" t="str">
        <f t="shared" si="37"/>
        <v>20411107G1000</v>
      </c>
      <c r="W213" t="str">
        <f t="shared" si="38"/>
        <v>WBSS-SE PWM</v>
      </c>
      <c r="X213" s="1" t="s">
        <v>2115</v>
      </c>
      <c r="Y213" s="1" t="s">
        <v>1978</v>
      </c>
      <c r="Z213" t="s">
        <v>1979</v>
      </c>
      <c r="AA213" t="s">
        <v>2334</v>
      </c>
    </row>
    <row r="214" spans="1:27">
      <c r="A214" s="32">
        <f t="shared" ca="1" si="30"/>
        <v>203</v>
      </c>
      <c r="B214" s="30" t="s">
        <v>2099</v>
      </c>
      <c r="C214" s="30" t="s">
        <v>746</v>
      </c>
      <c r="D214" s="30" t="s">
        <v>2335</v>
      </c>
      <c r="E214" s="30" t="s">
        <v>2331</v>
      </c>
      <c r="F214" s="30" t="s">
        <v>1970</v>
      </c>
      <c r="G214" s="30" t="s">
        <v>1018</v>
      </c>
      <c r="H214" s="30" t="s">
        <v>1934</v>
      </c>
      <c r="I214" s="30" t="s">
        <v>2228</v>
      </c>
      <c r="J214" s="30">
        <v>2400</v>
      </c>
      <c r="K214" s="30" t="s">
        <v>1845</v>
      </c>
      <c r="L214" s="6" t="str">
        <f t="shared" si="31"/>
        <v>PWM, 15KW, SINCOS, DOOR SUS, 2400, LEFT HINGE</v>
      </c>
      <c r="N214" t="s">
        <v>99</v>
      </c>
      <c r="O214" t="s">
        <v>2229</v>
      </c>
      <c r="P214" t="s">
        <v>1971</v>
      </c>
      <c r="Q214">
        <f t="shared" si="32"/>
        <v>2400</v>
      </c>
      <c r="R214" t="str">
        <f t="shared" si="33"/>
        <v>15KW</v>
      </c>
      <c r="S214" t="str">
        <f t="shared" si="34"/>
        <v>SINCOS</v>
      </c>
      <c r="T214" t="str">
        <f t="shared" si="35"/>
        <v>LEFT HINGE</v>
      </c>
      <c r="U214" t="str">
        <f t="shared" si="36"/>
        <v>MRLDOOR만 SUS-HL회생형240015KWSINCOSLEFT HINGE</v>
      </c>
      <c r="V214" t="str">
        <f t="shared" si="37"/>
        <v>20411107G1100</v>
      </c>
      <c r="W214" t="str">
        <f t="shared" si="38"/>
        <v>WBSS-SE PWM</v>
      </c>
      <c r="X214" s="1" t="s">
        <v>2118</v>
      </c>
      <c r="Y214" s="1" t="s">
        <v>1983</v>
      </c>
      <c r="Z214" t="s">
        <v>1984</v>
      </c>
      <c r="AA214" t="s">
        <v>2336</v>
      </c>
    </row>
    <row r="215" spans="1:27">
      <c r="A215" s="32">
        <f t="shared" ca="1" si="30"/>
        <v>204</v>
      </c>
      <c r="B215" s="30" t="s">
        <v>2099</v>
      </c>
      <c r="C215" s="30" t="s">
        <v>746</v>
      </c>
      <c r="D215" s="30" t="s">
        <v>2337</v>
      </c>
      <c r="E215" s="30" t="s">
        <v>2338</v>
      </c>
      <c r="F215" s="30" t="s">
        <v>1970</v>
      </c>
      <c r="G215" s="30" t="s">
        <v>1020</v>
      </c>
      <c r="H215" s="30" t="s">
        <v>1934</v>
      </c>
      <c r="I215" s="30" t="s">
        <v>2228</v>
      </c>
      <c r="J215" s="30">
        <v>2400</v>
      </c>
      <c r="K215" s="30" t="s">
        <v>1845</v>
      </c>
      <c r="L215" s="6" t="str">
        <f t="shared" si="31"/>
        <v>PWM, 22KW, SINCOS, DOOR SUS, 2400, LEFT HINGE</v>
      </c>
      <c r="N215" t="s">
        <v>99</v>
      </c>
      <c r="O215" t="s">
        <v>2229</v>
      </c>
      <c r="P215" t="s">
        <v>1971</v>
      </c>
      <c r="Q215">
        <f t="shared" si="32"/>
        <v>2400</v>
      </c>
      <c r="R215" t="str">
        <f t="shared" si="33"/>
        <v>22KW</v>
      </c>
      <c r="S215" t="str">
        <f t="shared" si="34"/>
        <v>SINCOS</v>
      </c>
      <c r="T215" t="str">
        <f t="shared" si="35"/>
        <v>LEFT HINGE</v>
      </c>
      <c r="U215" t="str">
        <f t="shared" si="36"/>
        <v>MRLDOOR만 SUS-HL회생형240022KWSINCOSLEFT HINGE</v>
      </c>
      <c r="V215" t="str">
        <f t="shared" si="37"/>
        <v>20411107G1200</v>
      </c>
      <c r="W215" t="str">
        <f t="shared" si="38"/>
        <v>WBSS-SE PWM</v>
      </c>
      <c r="X215" s="1" t="s">
        <v>2122</v>
      </c>
      <c r="Y215" s="1" t="s">
        <v>1988</v>
      </c>
      <c r="Z215" t="s">
        <v>1989</v>
      </c>
      <c r="AA215" t="s">
        <v>2339</v>
      </c>
    </row>
    <row r="216" spans="1:27">
      <c r="A216" s="32">
        <f t="shared" ca="1" si="30"/>
        <v>205</v>
      </c>
      <c r="B216" s="30" t="s">
        <v>2099</v>
      </c>
      <c r="C216" s="30" t="s">
        <v>746</v>
      </c>
      <c r="D216" s="30" t="s">
        <v>2340</v>
      </c>
      <c r="E216" s="30" t="s">
        <v>2341</v>
      </c>
      <c r="F216" s="30" t="s">
        <v>1970</v>
      </c>
      <c r="G216" s="30" t="s">
        <v>1013</v>
      </c>
      <c r="H216" s="30" t="s">
        <v>1934</v>
      </c>
      <c r="I216" s="30" t="s">
        <v>2228</v>
      </c>
      <c r="J216" s="30">
        <v>2100</v>
      </c>
      <c r="K216" s="30" t="s">
        <v>1853</v>
      </c>
      <c r="L216" s="6" t="str">
        <f t="shared" si="31"/>
        <v>PWM, 7.5KW, SINCOS, DOOR SUS, 2100, RIGHT HINGE</v>
      </c>
      <c r="N216" t="s">
        <v>99</v>
      </c>
      <c r="O216" t="s">
        <v>2229</v>
      </c>
      <c r="P216" t="s">
        <v>1971</v>
      </c>
      <c r="Q216">
        <f t="shared" si="32"/>
        <v>2100</v>
      </c>
      <c r="R216" t="str">
        <f t="shared" si="33"/>
        <v>7.5KW</v>
      </c>
      <c r="S216" t="str">
        <f t="shared" si="34"/>
        <v>SINCOS</v>
      </c>
      <c r="T216" t="str">
        <f t="shared" si="35"/>
        <v>RIGHT HINGE</v>
      </c>
      <c r="U216" t="str">
        <f t="shared" si="36"/>
        <v>MRLDOOR만 SUS-HL회생형21007.5KWSINCOSRIGHT HINGE</v>
      </c>
      <c r="V216" t="str">
        <f t="shared" si="37"/>
        <v>20411107G1300</v>
      </c>
      <c r="W216" t="str">
        <f t="shared" si="38"/>
        <v>WBSS-SE PWM</v>
      </c>
      <c r="X216" s="1" t="s">
        <v>2112</v>
      </c>
      <c r="Y216" s="1" t="s">
        <v>1973</v>
      </c>
      <c r="Z216" t="s">
        <v>1974</v>
      </c>
      <c r="AA216" t="s">
        <v>2342</v>
      </c>
    </row>
    <row r="217" spans="1:27">
      <c r="A217" s="32">
        <f t="shared" ca="1" si="30"/>
        <v>206</v>
      </c>
      <c r="B217" s="30" t="s">
        <v>2099</v>
      </c>
      <c r="C217" s="30" t="s">
        <v>746</v>
      </c>
      <c r="D217" s="30" t="s">
        <v>2343</v>
      </c>
      <c r="E217" s="30" t="s">
        <v>2341</v>
      </c>
      <c r="F217" s="30" t="s">
        <v>1970</v>
      </c>
      <c r="G217" s="30" t="s">
        <v>1016</v>
      </c>
      <c r="H217" s="30" t="s">
        <v>1934</v>
      </c>
      <c r="I217" s="30" t="s">
        <v>2228</v>
      </c>
      <c r="J217" s="30">
        <v>2100</v>
      </c>
      <c r="K217" s="30" t="s">
        <v>1853</v>
      </c>
      <c r="L217" s="6" t="str">
        <f t="shared" si="31"/>
        <v>PWM, 11KW, SINCOS, DOOR SUS, 2100, RIGHT HINGE</v>
      </c>
      <c r="N217" t="s">
        <v>99</v>
      </c>
      <c r="O217" t="s">
        <v>2229</v>
      </c>
      <c r="P217" t="s">
        <v>1971</v>
      </c>
      <c r="Q217">
        <f t="shared" si="32"/>
        <v>2100</v>
      </c>
      <c r="R217" t="str">
        <f t="shared" si="33"/>
        <v>11KW</v>
      </c>
      <c r="S217" t="str">
        <f t="shared" si="34"/>
        <v>SINCOS</v>
      </c>
      <c r="T217" t="str">
        <f t="shared" si="35"/>
        <v>RIGHT HINGE</v>
      </c>
      <c r="U217" t="str">
        <f t="shared" si="36"/>
        <v>MRLDOOR만 SUS-HL회생형210011KWSINCOSRIGHT HINGE</v>
      </c>
      <c r="V217" t="str">
        <f t="shared" si="37"/>
        <v>20411107G1400</v>
      </c>
      <c r="W217" t="str">
        <f t="shared" si="38"/>
        <v>WBSS-SE PWM</v>
      </c>
      <c r="X217" s="1" t="s">
        <v>2115</v>
      </c>
      <c r="Y217" s="1" t="s">
        <v>1978</v>
      </c>
      <c r="Z217" t="s">
        <v>1979</v>
      </c>
      <c r="AA217" t="s">
        <v>2344</v>
      </c>
    </row>
    <row r="218" spans="1:27">
      <c r="A218" s="32">
        <f t="shared" ca="1" si="30"/>
        <v>207</v>
      </c>
      <c r="B218" s="30" t="s">
        <v>2099</v>
      </c>
      <c r="C218" s="30" t="s">
        <v>746</v>
      </c>
      <c r="D218" s="30" t="s">
        <v>2345</v>
      </c>
      <c r="E218" s="30" t="s">
        <v>2341</v>
      </c>
      <c r="F218" s="30" t="s">
        <v>1970</v>
      </c>
      <c r="G218" s="30" t="s">
        <v>1018</v>
      </c>
      <c r="H218" s="30" t="s">
        <v>1934</v>
      </c>
      <c r="I218" s="30" t="s">
        <v>2228</v>
      </c>
      <c r="J218" s="30">
        <v>2100</v>
      </c>
      <c r="K218" s="30" t="s">
        <v>1853</v>
      </c>
      <c r="L218" s="6" t="str">
        <f t="shared" si="31"/>
        <v>PWM, 15KW, SINCOS, DOOR SUS, 2100, RIGHT HINGE</v>
      </c>
      <c r="N218" t="s">
        <v>99</v>
      </c>
      <c r="O218" t="s">
        <v>2229</v>
      </c>
      <c r="P218" t="s">
        <v>1971</v>
      </c>
      <c r="Q218">
        <f t="shared" si="32"/>
        <v>2100</v>
      </c>
      <c r="R218" t="str">
        <f t="shared" si="33"/>
        <v>15KW</v>
      </c>
      <c r="S218" t="str">
        <f t="shared" si="34"/>
        <v>SINCOS</v>
      </c>
      <c r="T218" t="str">
        <f t="shared" si="35"/>
        <v>RIGHT HINGE</v>
      </c>
      <c r="U218" t="str">
        <f t="shared" si="36"/>
        <v>MRLDOOR만 SUS-HL회생형210015KWSINCOSRIGHT HINGE</v>
      </c>
      <c r="V218" t="str">
        <f t="shared" si="37"/>
        <v>20411107G1500</v>
      </c>
      <c r="W218" t="str">
        <f t="shared" si="38"/>
        <v>WBSS-SE PWM</v>
      </c>
      <c r="X218" s="1" t="s">
        <v>2118</v>
      </c>
      <c r="Y218" s="1" t="s">
        <v>1983</v>
      </c>
      <c r="Z218" t="s">
        <v>1984</v>
      </c>
      <c r="AA218" t="s">
        <v>2346</v>
      </c>
    </row>
    <row r="219" spans="1:27">
      <c r="A219" s="32">
        <f t="shared" ca="1" si="30"/>
        <v>208</v>
      </c>
      <c r="B219" s="30" t="s">
        <v>2099</v>
      </c>
      <c r="C219" s="30" t="s">
        <v>746</v>
      </c>
      <c r="D219" s="30" t="s">
        <v>2347</v>
      </c>
      <c r="E219" s="30" t="s">
        <v>2348</v>
      </c>
      <c r="F219" s="30" t="s">
        <v>1970</v>
      </c>
      <c r="G219" s="30" t="s">
        <v>1020</v>
      </c>
      <c r="H219" s="30" t="s">
        <v>1934</v>
      </c>
      <c r="I219" s="30" t="s">
        <v>2228</v>
      </c>
      <c r="J219" s="30">
        <v>2100</v>
      </c>
      <c r="K219" s="30" t="s">
        <v>1853</v>
      </c>
      <c r="L219" s="6" t="str">
        <f t="shared" si="31"/>
        <v>PWM, 22KW, SINCOS, DOOR SUS, 2100, RIGHT HINGE</v>
      </c>
      <c r="N219" t="s">
        <v>99</v>
      </c>
      <c r="O219" t="s">
        <v>2229</v>
      </c>
      <c r="P219" t="s">
        <v>1971</v>
      </c>
      <c r="Q219">
        <f t="shared" si="32"/>
        <v>2100</v>
      </c>
      <c r="R219" t="str">
        <f t="shared" si="33"/>
        <v>22KW</v>
      </c>
      <c r="S219" t="str">
        <f t="shared" si="34"/>
        <v>SINCOS</v>
      </c>
      <c r="T219" t="str">
        <f t="shared" si="35"/>
        <v>RIGHT HINGE</v>
      </c>
      <c r="U219" t="str">
        <f t="shared" si="36"/>
        <v>MRLDOOR만 SUS-HL회생형210022KWSINCOSRIGHT HINGE</v>
      </c>
      <c r="V219" t="str">
        <f t="shared" si="37"/>
        <v>20411107G1600</v>
      </c>
      <c r="W219" t="str">
        <f t="shared" si="38"/>
        <v>WBSS-SE PWM</v>
      </c>
      <c r="X219" s="1" t="s">
        <v>2122</v>
      </c>
      <c r="Y219" s="1" t="s">
        <v>1988</v>
      </c>
      <c r="Z219" t="s">
        <v>1989</v>
      </c>
      <c r="AA219" t="s">
        <v>2349</v>
      </c>
    </row>
    <row r="220" spans="1:27">
      <c r="A220" s="32">
        <f t="shared" ca="1" si="30"/>
        <v>209</v>
      </c>
      <c r="B220" s="30" t="s">
        <v>2099</v>
      </c>
      <c r="C220" s="30" t="s">
        <v>746</v>
      </c>
      <c r="D220" s="30" t="s">
        <v>2350</v>
      </c>
      <c r="E220" s="30" t="s">
        <v>2351</v>
      </c>
      <c r="F220" s="30" t="s">
        <v>1970</v>
      </c>
      <c r="G220" s="30" t="s">
        <v>1013</v>
      </c>
      <c r="H220" s="30" t="s">
        <v>1934</v>
      </c>
      <c r="I220" s="30" t="s">
        <v>2228</v>
      </c>
      <c r="J220" s="30">
        <v>2200</v>
      </c>
      <c r="K220" s="30" t="s">
        <v>1853</v>
      </c>
      <c r="L220" s="6" t="str">
        <f t="shared" si="31"/>
        <v>PWM, 7.5KW, SINCOS, DOOR SUS, 2200, RIGHT HINGE</v>
      </c>
      <c r="N220" t="s">
        <v>99</v>
      </c>
      <c r="O220" t="s">
        <v>2229</v>
      </c>
      <c r="P220" t="s">
        <v>1971</v>
      </c>
      <c r="Q220">
        <f t="shared" si="32"/>
        <v>2200</v>
      </c>
      <c r="R220" t="str">
        <f t="shared" si="33"/>
        <v>7.5KW</v>
      </c>
      <c r="S220" t="str">
        <f t="shared" si="34"/>
        <v>SINCOS</v>
      </c>
      <c r="T220" t="str">
        <f t="shared" si="35"/>
        <v>RIGHT HINGE</v>
      </c>
      <c r="U220" t="str">
        <f t="shared" si="36"/>
        <v>MRLDOOR만 SUS-HL회생형22007.5KWSINCOSRIGHT HINGE</v>
      </c>
      <c r="V220" t="str">
        <f t="shared" si="37"/>
        <v>20411107G1700</v>
      </c>
      <c r="W220" t="str">
        <f t="shared" si="38"/>
        <v>WBSS-SE PWM</v>
      </c>
      <c r="X220" s="1" t="s">
        <v>2112</v>
      </c>
      <c r="Y220" s="1" t="s">
        <v>1973</v>
      </c>
      <c r="Z220" t="s">
        <v>1974</v>
      </c>
      <c r="AA220" t="s">
        <v>2352</v>
      </c>
    </row>
    <row r="221" spans="1:27">
      <c r="A221" s="32">
        <f t="shared" ca="1" si="30"/>
        <v>210</v>
      </c>
      <c r="B221" s="30" t="s">
        <v>2099</v>
      </c>
      <c r="C221" s="30" t="s">
        <v>746</v>
      </c>
      <c r="D221" s="30" t="s">
        <v>2353</v>
      </c>
      <c r="E221" s="30" t="s">
        <v>2351</v>
      </c>
      <c r="F221" s="30" t="s">
        <v>1970</v>
      </c>
      <c r="G221" s="30" t="s">
        <v>1016</v>
      </c>
      <c r="H221" s="30" t="s">
        <v>1934</v>
      </c>
      <c r="I221" s="30" t="s">
        <v>2228</v>
      </c>
      <c r="J221" s="30">
        <v>2200</v>
      </c>
      <c r="K221" s="30" t="s">
        <v>1853</v>
      </c>
      <c r="L221" s="6" t="str">
        <f t="shared" si="31"/>
        <v>PWM, 11KW, SINCOS, DOOR SUS, 2200, RIGHT HINGE</v>
      </c>
      <c r="N221" t="s">
        <v>99</v>
      </c>
      <c r="O221" t="s">
        <v>2229</v>
      </c>
      <c r="P221" t="s">
        <v>1971</v>
      </c>
      <c r="Q221">
        <f t="shared" si="32"/>
        <v>2200</v>
      </c>
      <c r="R221" t="str">
        <f t="shared" si="33"/>
        <v>11KW</v>
      </c>
      <c r="S221" t="str">
        <f t="shared" si="34"/>
        <v>SINCOS</v>
      </c>
      <c r="T221" t="str">
        <f t="shared" si="35"/>
        <v>RIGHT HINGE</v>
      </c>
      <c r="U221" t="str">
        <f t="shared" si="36"/>
        <v>MRLDOOR만 SUS-HL회생형220011KWSINCOSRIGHT HINGE</v>
      </c>
      <c r="V221" t="str">
        <f t="shared" si="37"/>
        <v>20411107G1800</v>
      </c>
      <c r="W221" t="str">
        <f t="shared" si="38"/>
        <v>WBSS-SE PWM</v>
      </c>
      <c r="X221" s="1" t="s">
        <v>2115</v>
      </c>
      <c r="Y221" s="1" t="s">
        <v>1978</v>
      </c>
      <c r="Z221" t="s">
        <v>1979</v>
      </c>
      <c r="AA221" t="s">
        <v>2354</v>
      </c>
    </row>
    <row r="222" spans="1:27">
      <c r="A222" s="32">
        <f t="shared" ca="1" si="30"/>
        <v>211</v>
      </c>
      <c r="B222" s="30" t="s">
        <v>2099</v>
      </c>
      <c r="C222" s="30" t="s">
        <v>746</v>
      </c>
      <c r="D222" s="30" t="s">
        <v>2355</v>
      </c>
      <c r="E222" s="30" t="s">
        <v>2351</v>
      </c>
      <c r="F222" s="30" t="s">
        <v>1970</v>
      </c>
      <c r="G222" s="30" t="s">
        <v>1018</v>
      </c>
      <c r="H222" s="30" t="s">
        <v>1934</v>
      </c>
      <c r="I222" s="30" t="s">
        <v>2228</v>
      </c>
      <c r="J222" s="30">
        <v>2200</v>
      </c>
      <c r="K222" s="30" t="s">
        <v>1853</v>
      </c>
      <c r="L222" s="6" t="str">
        <f t="shared" si="31"/>
        <v>PWM, 15KW, SINCOS, DOOR SUS, 2200, RIGHT HINGE</v>
      </c>
      <c r="N222" t="s">
        <v>99</v>
      </c>
      <c r="O222" t="s">
        <v>2229</v>
      </c>
      <c r="P222" t="s">
        <v>1971</v>
      </c>
      <c r="Q222">
        <f t="shared" si="32"/>
        <v>2200</v>
      </c>
      <c r="R222" t="str">
        <f t="shared" si="33"/>
        <v>15KW</v>
      </c>
      <c r="S222" t="str">
        <f t="shared" si="34"/>
        <v>SINCOS</v>
      </c>
      <c r="T222" t="str">
        <f t="shared" si="35"/>
        <v>RIGHT HINGE</v>
      </c>
      <c r="U222" t="str">
        <f t="shared" si="36"/>
        <v>MRLDOOR만 SUS-HL회생형220015KWSINCOSRIGHT HINGE</v>
      </c>
      <c r="V222" t="str">
        <f t="shared" si="37"/>
        <v>20411107G1900</v>
      </c>
      <c r="W222" t="str">
        <f t="shared" si="38"/>
        <v>WBSS-SE PWM</v>
      </c>
      <c r="X222" s="1" t="s">
        <v>2118</v>
      </c>
      <c r="Y222" s="1" t="s">
        <v>1983</v>
      </c>
      <c r="Z222" t="s">
        <v>1984</v>
      </c>
      <c r="AA222" t="s">
        <v>2356</v>
      </c>
    </row>
    <row r="223" spans="1:27">
      <c r="A223" s="32">
        <f t="shared" ca="1" si="30"/>
        <v>212</v>
      </c>
      <c r="B223" s="30" t="s">
        <v>2099</v>
      </c>
      <c r="C223" s="30" t="s">
        <v>746</v>
      </c>
      <c r="D223" s="30" t="s">
        <v>2357</v>
      </c>
      <c r="E223" s="30" t="s">
        <v>2358</v>
      </c>
      <c r="F223" s="30" t="s">
        <v>1970</v>
      </c>
      <c r="G223" s="30" t="s">
        <v>1020</v>
      </c>
      <c r="H223" s="30" t="s">
        <v>1934</v>
      </c>
      <c r="I223" s="30" t="s">
        <v>2228</v>
      </c>
      <c r="J223" s="30">
        <v>2200</v>
      </c>
      <c r="K223" s="30" t="s">
        <v>1853</v>
      </c>
      <c r="L223" s="6" t="str">
        <f t="shared" si="31"/>
        <v>PWM, 22KW, SINCOS, DOOR SUS, 2200, RIGHT HINGE</v>
      </c>
      <c r="N223" t="s">
        <v>99</v>
      </c>
      <c r="O223" t="s">
        <v>2229</v>
      </c>
      <c r="P223" t="s">
        <v>1971</v>
      </c>
      <c r="Q223">
        <f t="shared" si="32"/>
        <v>2200</v>
      </c>
      <c r="R223" t="str">
        <f t="shared" si="33"/>
        <v>22KW</v>
      </c>
      <c r="S223" t="str">
        <f t="shared" si="34"/>
        <v>SINCOS</v>
      </c>
      <c r="T223" t="str">
        <f t="shared" si="35"/>
        <v>RIGHT HINGE</v>
      </c>
      <c r="U223" t="str">
        <f t="shared" si="36"/>
        <v>MRLDOOR만 SUS-HL회생형220022KWSINCOSRIGHT HINGE</v>
      </c>
      <c r="V223" t="str">
        <f t="shared" si="37"/>
        <v>20411107G2000</v>
      </c>
      <c r="W223" t="str">
        <f t="shared" si="38"/>
        <v>WBSS-SE PWM</v>
      </c>
      <c r="X223" s="1" t="s">
        <v>2122</v>
      </c>
      <c r="Y223" s="1" t="s">
        <v>1988</v>
      </c>
      <c r="Z223" t="s">
        <v>1989</v>
      </c>
      <c r="AA223" t="s">
        <v>2359</v>
      </c>
    </row>
    <row r="224" spans="1:27">
      <c r="A224" s="32">
        <f t="shared" ca="1" si="30"/>
        <v>213</v>
      </c>
      <c r="B224" s="30" t="s">
        <v>2099</v>
      </c>
      <c r="C224" s="30" t="s">
        <v>746</v>
      </c>
      <c r="D224" s="30" t="s">
        <v>2360</v>
      </c>
      <c r="E224" s="30" t="s">
        <v>2361</v>
      </c>
      <c r="F224" s="30" t="s">
        <v>1970</v>
      </c>
      <c r="G224" s="30" t="s">
        <v>1013</v>
      </c>
      <c r="H224" s="30" t="s">
        <v>1934</v>
      </c>
      <c r="I224" s="30" t="s">
        <v>2228</v>
      </c>
      <c r="J224" s="30">
        <v>2400</v>
      </c>
      <c r="K224" s="30" t="s">
        <v>1853</v>
      </c>
      <c r="L224" s="6" t="str">
        <f t="shared" si="31"/>
        <v>PWM, 7.5KW, SINCOS, DOOR SUS, 2400, RIGHT HINGE</v>
      </c>
      <c r="N224" t="s">
        <v>99</v>
      </c>
      <c r="O224" t="s">
        <v>2229</v>
      </c>
      <c r="P224" t="s">
        <v>1971</v>
      </c>
      <c r="Q224">
        <f t="shared" si="32"/>
        <v>2400</v>
      </c>
      <c r="R224" t="str">
        <f t="shared" si="33"/>
        <v>7.5KW</v>
      </c>
      <c r="S224" t="str">
        <f t="shared" si="34"/>
        <v>SINCOS</v>
      </c>
      <c r="T224" t="str">
        <f t="shared" si="35"/>
        <v>RIGHT HINGE</v>
      </c>
      <c r="U224" t="str">
        <f t="shared" si="36"/>
        <v>MRLDOOR만 SUS-HL회생형24007.5KWSINCOSRIGHT HINGE</v>
      </c>
      <c r="V224" t="str">
        <f t="shared" si="37"/>
        <v>20411107G2100</v>
      </c>
      <c r="W224" t="str">
        <f t="shared" si="38"/>
        <v>WBSS-SE PWM</v>
      </c>
      <c r="X224" s="1" t="s">
        <v>2112</v>
      </c>
      <c r="Y224" s="1" t="s">
        <v>1973</v>
      </c>
      <c r="Z224" t="s">
        <v>1974</v>
      </c>
      <c r="AA224" t="s">
        <v>2362</v>
      </c>
    </row>
    <row r="225" spans="1:27">
      <c r="A225" s="32">
        <f t="shared" ca="1" si="30"/>
        <v>214</v>
      </c>
      <c r="B225" s="30" t="s">
        <v>2099</v>
      </c>
      <c r="C225" s="30" t="s">
        <v>746</v>
      </c>
      <c r="D225" s="30" t="s">
        <v>2363</v>
      </c>
      <c r="E225" s="30" t="s">
        <v>2361</v>
      </c>
      <c r="F225" s="30" t="s">
        <v>1970</v>
      </c>
      <c r="G225" s="30" t="s">
        <v>1016</v>
      </c>
      <c r="H225" s="30" t="s">
        <v>1934</v>
      </c>
      <c r="I225" s="30" t="s">
        <v>2228</v>
      </c>
      <c r="J225" s="30">
        <v>2400</v>
      </c>
      <c r="K225" s="30" t="s">
        <v>1853</v>
      </c>
      <c r="L225" s="6" t="str">
        <f t="shared" si="31"/>
        <v>PWM, 11KW, SINCOS, DOOR SUS, 2400, RIGHT HINGE</v>
      </c>
      <c r="N225" t="s">
        <v>99</v>
      </c>
      <c r="O225" t="s">
        <v>2229</v>
      </c>
      <c r="P225" t="s">
        <v>1971</v>
      </c>
      <c r="Q225">
        <f t="shared" si="32"/>
        <v>2400</v>
      </c>
      <c r="R225" t="str">
        <f t="shared" si="33"/>
        <v>11KW</v>
      </c>
      <c r="S225" t="str">
        <f t="shared" si="34"/>
        <v>SINCOS</v>
      </c>
      <c r="T225" t="str">
        <f t="shared" si="35"/>
        <v>RIGHT HINGE</v>
      </c>
      <c r="U225" t="str">
        <f t="shared" si="36"/>
        <v>MRLDOOR만 SUS-HL회생형240011KWSINCOSRIGHT HINGE</v>
      </c>
      <c r="V225" t="str">
        <f t="shared" si="37"/>
        <v>20411107G2200</v>
      </c>
      <c r="W225" t="str">
        <f t="shared" si="38"/>
        <v>WBSS-SE PWM</v>
      </c>
      <c r="X225" s="1" t="s">
        <v>2115</v>
      </c>
      <c r="Y225" s="1" t="s">
        <v>1978</v>
      </c>
      <c r="Z225" t="s">
        <v>1979</v>
      </c>
      <c r="AA225" t="s">
        <v>2364</v>
      </c>
    </row>
    <row r="226" spans="1:27">
      <c r="A226" s="32">
        <f t="shared" ca="1" si="30"/>
        <v>215</v>
      </c>
      <c r="B226" s="30" t="s">
        <v>2099</v>
      </c>
      <c r="C226" s="30" t="s">
        <v>746</v>
      </c>
      <c r="D226" s="30" t="s">
        <v>2365</v>
      </c>
      <c r="E226" s="30" t="s">
        <v>2361</v>
      </c>
      <c r="F226" s="30" t="s">
        <v>1970</v>
      </c>
      <c r="G226" s="30" t="s">
        <v>1018</v>
      </c>
      <c r="H226" s="30" t="s">
        <v>1934</v>
      </c>
      <c r="I226" s="30" t="s">
        <v>2228</v>
      </c>
      <c r="J226" s="30">
        <v>2400</v>
      </c>
      <c r="K226" s="30" t="s">
        <v>1853</v>
      </c>
      <c r="L226" s="6" t="str">
        <f t="shared" si="31"/>
        <v>PWM, 15KW, SINCOS, DOOR SUS, 2400, RIGHT HINGE</v>
      </c>
      <c r="N226" t="s">
        <v>99</v>
      </c>
      <c r="O226" t="s">
        <v>2229</v>
      </c>
      <c r="P226" t="s">
        <v>1971</v>
      </c>
      <c r="Q226">
        <f t="shared" si="32"/>
        <v>2400</v>
      </c>
      <c r="R226" t="str">
        <f t="shared" si="33"/>
        <v>15KW</v>
      </c>
      <c r="S226" t="str">
        <f t="shared" si="34"/>
        <v>SINCOS</v>
      </c>
      <c r="T226" t="str">
        <f t="shared" si="35"/>
        <v>RIGHT HINGE</v>
      </c>
      <c r="U226" t="str">
        <f t="shared" si="36"/>
        <v>MRLDOOR만 SUS-HL회생형240015KWSINCOSRIGHT HINGE</v>
      </c>
      <c r="V226" t="str">
        <f t="shared" si="37"/>
        <v>20411107G2300</v>
      </c>
      <c r="W226" t="str">
        <f t="shared" si="38"/>
        <v>WBSS-SE PWM</v>
      </c>
      <c r="X226" s="1" t="s">
        <v>2118</v>
      </c>
      <c r="Y226" s="1" t="s">
        <v>1983</v>
      </c>
      <c r="Z226" t="s">
        <v>1984</v>
      </c>
      <c r="AA226" t="s">
        <v>2366</v>
      </c>
    </row>
    <row r="227" spans="1:27">
      <c r="A227" s="32">
        <f t="shared" ca="1" si="30"/>
        <v>216</v>
      </c>
      <c r="B227" s="30" t="s">
        <v>2099</v>
      </c>
      <c r="C227" s="30" t="s">
        <v>746</v>
      </c>
      <c r="D227" s="30" t="s">
        <v>2367</v>
      </c>
      <c r="E227" s="30" t="s">
        <v>2368</v>
      </c>
      <c r="F227" s="30" t="s">
        <v>1970</v>
      </c>
      <c r="G227" s="30" t="s">
        <v>1020</v>
      </c>
      <c r="H227" s="30" t="s">
        <v>1934</v>
      </c>
      <c r="I227" s="30" t="s">
        <v>2228</v>
      </c>
      <c r="J227" s="30">
        <v>2400</v>
      </c>
      <c r="K227" s="30" t="s">
        <v>1853</v>
      </c>
      <c r="L227" s="6" t="str">
        <f t="shared" si="31"/>
        <v>PWM, 22KW, SINCOS, DOOR SUS, 2400, RIGHT HINGE</v>
      </c>
      <c r="N227" t="s">
        <v>99</v>
      </c>
      <c r="O227" t="s">
        <v>2229</v>
      </c>
      <c r="P227" t="s">
        <v>1971</v>
      </c>
      <c r="Q227">
        <f t="shared" si="32"/>
        <v>2400</v>
      </c>
      <c r="R227" t="str">
        <f t="shared" si="33"/>
        <v>22KW</v>
      </c>
      <c r="S227" t="str">
        <f t="shared" si="34"/>
        <v>SINCOS</v>
      </c>
      <c r="T227" t="str">
        <f t="shared" si="35"/>
        <v>RIGHT HINGE</v>
      </c>
      <c r="U227" t="str">
        <f t="shared" si="36"/>
        <v>MRLDOOR만 SUS-HL회생형240022KWSINCOSRIGHT HINGE</v>
      </c>
      <c r="V227" t="str">
        <f t="shared" si="37"/>
        <v>20411107G2400</v>
      </c>
      <c r="W227" t="str">
        <f t="shared" si="38"/>
        <v>WBSS-SE PWM</v>
      </c>
      <c r="X227" s="1" t="s">
        <v>2122</v>
      </c>
      <c r="Y227" s="1" t="s">
        <v>1988</v>
      </c>
      <c r="Z227" t="s">
        <v>1989</v>
      </c>
      <c r="AA227" t="s">
        <v>2369</v>
      </c>
    </row>
    <row r="228" spans="1:27">
      <c r="A228" s="34">
        <f t="shared" ca="1" si="30"/>
        <v>217</v>
      </c>
      <c r="B228" s="29" t="s">
        <v>2099</v>
      </c>
      <c r="C228" s="29" t="s">
        <v>746</v>
      </c>
      <c r="D228" s="29" t="s">
        <v>2370</v>
      </c>
      <c r="E228" s="29" t="s">
        <v>2311</v>
      </c>
      <c r="F228" s="29" t="s">
        <v>1970</v>
      </c>
      <c r="G228" s="29" t="s">
        <v>1013</v>
      </c>
      <c r="H228" s="29" t="s">
        <v>1955</v>
      </c>
      <c r="I228" s="29" t="s">
        <v>2228</v>
      </c>
      <c r="J228" s="29">
        <v>2100</v>
      </c>
      <c r="K228" s="29" t="s">
        <v>1845</v>
      </c>
      <c r="L228" s="6" t="str">
        <f t="shared" si="31"/>
        <v>PWM, 7.5KW, INCREMENTAL, DOOR SUS, 2100, LEFT HINGE</v>
      </c>
      <c r="N228" t="s">
        <v>99</v>
      </c>
      <c r="O228" t="s">
        <v>2229</v>
      </c>
      <c r="P228" t="s">
        <v>1971</v>
      </c>
      <c r="Q228">
        <f t="shared" si="32"/>
        <v>2100</v>
      </c>
      <c r="R228" t="str">
        <f t="shared" si="33"/>
        <v>7.5KW</v>
      </c>
      <c r="S228" t="str">
        <f t="shared" si="34"/>
        <v>INCREMENTAL</v>
      </c>
      <c r="T228" t="str">
        <f t="shared" si="35"/>
        <v>LEFT HINGE</v>
      </c>
      <c r="U228" t="str">
        <f t="shared" si="36"/>
        <v>MRLDOOR만 SUS-HL회생형21007.5KWINCREMENTALLEFT HINGE</v>
      </c>
      <c r="V228" t="str">
        <f t="shared" si="37"/>
        <v>20411107G2900</v>
      </c>
      <c r="W228" t="str">
        <f t="shared" si="38"/>
        <v>WBSS-SE PWM</v>
      </c>
      <c r="X228" s="1" t="s">
        <v>1992</v>
      </c>
      <c r="Y228" s="1" t="s">
        <v>1993</v>
      </c>
      <c r="Z228" t="s">
        <v>1974</v>
      </c>
      <c r="AA228" t="s">
        <v>2312</v>
      </c>
    </row>
    <row r="229" spans="1:27">
      <c r="A229" s="32">
        <f t="shared" ca="1" si="30"/>
        <v>218</v>
      </c>
      <c r="B229" s="30" t="s">
        <v>2099</v>
      </c>
      <c r="C229" s="30" t="s">
        <v>746</v>
      </c>
      <c r="D229" s="30" t="s">
        <v>2371</v>
      </c>
      <c r="E229" s="30" t="s">
        <v>2311</v>
      </c>
      <c r="F229" s="30" t="s">
        <v>1970</v>
      </c>
      <c r="G229" s="30" t="s">
        <v>1016</v>
      </c>
      <c r="H229" s="30" t="s">
        <v>1955</v>
      </c>
      <c r="I229" s="30" t="s">
        <v>2228</v>
      </c>
      <c r="J229" s="30">
        <v>2100</v>
      </c>
      <c r="K229" s="30" t="s">
        <v>1845</v>
      </c>
      <c r="L229" s="6" t="str">
        <f t="shared" si="31"/>
        <v>PWM, 11KW, INCREMENTAL, DOOR SUS, 2100, LEFT HINGE</v>
      </c>
      <c r="N229" t="s">
        <v>99</v>
      </c>
      <c r="O229" t="s">
        <v>2229</v>
      </c>
      <c r="P229" t="s">
        <v>1971</v>
      </c>
      <c r="Q229">
        <f t="shared" si="32"/>
        <v>2100</v>
      </c>
      <c r="R229" t="str">
        <f t="shared" si="33"/>
        <v>11KW</v>
      </c>
      <c r="S229" t="str">
        <f t="shared" si="34"/>
        <v>INCREMENTAL</v>
      </c>
      <c r="T229" t="str">
        <f t="shared" si="35"/>
        <v>LEFT HINGE</v>
      </c>
      <c r="U229" t="str">
        <f t="shared" si="36"/>
        <v>MRLDOOR만 SUS-HL회생형210011KWINCREMENTALLEFT HINGE</v>
      </c>
      <c r="V229" t="str">
        <f t="shared" si="37"/>
        <v>20411107G3000</v>
      </c>
      <c r="W229" t="str">
        <f t="shared" si="38"/>
        <v>WBSS-SE PWM</v>
      </c>
      <c r="X229" s="1" t="s">
        <v>1995</v>
      </c>
      <c r="Y229" s="1" t="s">
        <v>1996</v>
      </c>
      <c r="Z229" t="s">
        <v>1979</v>
      </c>
      <c r="AA229" t="s">
        <v>2314</v>
      </c>
    </row>
    <row r="230" spans="1:27">
      <c r="A230" s="32">
        <f t="shared" ca="1" si="30"/>
        <v>219</v>
      </c>
      <c r="B230" s="30" t="s">
        <v>2099</v>
      </c>
      <c r="C230" s="30" t="s">
        <v>746</v>
      </c>
      <c r="D230" s="30" t="s">
        <v>2372</v>
      </c>
      <c r="E230" s="30" t="s">
        <v>2311</v>
      </c>
      <c r="F230" s="30" t="s">
        <v>1970</v>
      </c>
      <c r="G230" s="30" t="s">
        <v>1018</v>
      </c>
      <c r="H230" s="30" t="s">
        <v>1955</v>
      </c>
      <c r="I230" s="30" t="s">
        <v>2228</v>
      </c>
      <c r="J230" s="30">
        <v>2100</v>
      </c>
      <c r="K230" s="30" t="s">
        <v>1845</v>
      </c>
      <c r="L230" s="6" t="str">
        <f t="shared" si="31"/>
        <v>PWM, 15KW, INCREMENTAL, DOOR SUS, 2100, LEFT HINGE</v>
      </c>
      <c r="N230" t="s">
        <v>99</v>
      </c>
      <c r="O230" t="s">
        <v>2229</v>
      </c>
      <c r="P230" t="s">
        <v>1971</v>
      </c>
      <c r="Q230">
        <f t="shared" si="32"/>
        <v>2100</v>
      </c>
      <c r="R230" t="str">
        <f t="shared" si="33"/>
        <v>15KW</v>
      </c>
      <c r="S230" t="str">
        <f t="shared" si="34"/>
        <v>INCREMENTAL</v>
      </c>
      <c r="T230" t="str">
        <f t="shared" si="35"/>
        <v>LEFT HINGE</v>
      </c>
      <c r="U230" t="str">
        <f t="shared" si="36"/>
        <v>MRLDOOR만 SUS-HL회생형210015KWINCREMENTALLEFT HINGE</v>
      </c>
      <c r="V230" t="str">
        <f t="shared" si="37"/>
        <v>20411107G3100</v>
      </c>
      <c r="W230" t="str">
        <f t="shared" si="38"/>
        <v>WBSS-SE PWM</v>
      </c>
      <c r="X230" s="1" t="s">
        <v>1998</v>
      </c>
      <c r="Y230" s="1" t="s">
        <v>1999</v>
      </c>
      <c r="Z230" t="s">
        <v>1984</v>
      </c>
      <c r="AA230" t="s">
        <v>2316</v>
      </c>
    </row>
    <row r="231" spans="1:27">
      <c r="A231" s="32">
        <f t="shared" ca="1" si="30"/>
        <v>220</v>
      </c>
      <c r="B231" s="30" t="s">
        <v>2099</v>
      </c>
      <c r="C231" s="30" t="s">
        <v>746</v>
      </c>
      <c r="D231" s="30" t="s">
        <v>2373</v>
      </c>
      <c r="E231" s="30" t="s">
        <v>2318</v>
      </c>
      <c r="F231" s="30" t="s">
        <v>1970</v>
      </c>
      <c r="G231" s="30" t="s">
        <v>1020</v>
      </c>
      <c r="H231" s="30" t="s">
        <v>1955</v>
      </c>
      <c r="I231" s="30" t="s">
        <v>2228</v>
      </c>
      <c r="J231" s="30">
        <v>2100</v>
      </c>
      <c r="K231" s="30" t="s">
        <v>1845</v>
      </c>
      <c r="L231" s="6" t="str">
        <f t="shared" si="31"/>
        <v>PWM, 22KW, INCREMENTAL, DOOR SUS, 2100, LEFT HINGE</v>
      </c>
      <c r="N231" t="s">
        <v>99</v>
      </c>
      <c r="O231" t="s">
        <v>2229</v>
      </c>
      <c r="P231" t="s">
        <v>1971</v>
      </c>
      <c r="Q231">
        <f t="shared" si="32"/>
        <v>2100</v>
      </c>
      <c r="R231" t="str">
        <f t="shared" si="33"/>
        <v>22KW</v>
      </c>
      <c r="S231" t="str">
        <f t="shared" si="34"/>
        <v>INCREMENTAL</v>
      </c>
      <c r="T231" t="str">
        <f t="shared" si="35"/>
        <v>LEFT HINGE</v>
      </c>
      <c r="U231" t="str">
        <f t="shared" si="36"/>
        <v>MRLDOOR만 SUS-HL회생형210022KWINCREMENTALLEFT HINGE</v>
      </c>
      <c r="V231" t="str">
        <f t="shared" si="37"/>
        <v>20411107G3200</v>
      </c>
      <c r="W231" t="str">
        <f t="shared" si="38"/>
        <v>WBSS-SE PWM</v>
      </c>
      <c r="X231" s="1" t="s">
        <v>2001</v>
      </c>
      <c r="Y231" s="1" t="s">
        <v>2002</v>
      </c>
      <c r="Z231" t="s">
        <v>1989</v>
      </c>
      <c r="AA231" t="s">
        <v>2319</v>
      </c>
    </row>
    <row r="232" spans="1:27">
      <c r="A232" s="32">
        <f t="shared" ca="1" si="30"/>
        <v>221</v>
      </c>
      <c r="B232" s="30" t="s">
        <v>2099</v>
      </c>
      <c r="C232" s="30" t="s">
        <v>746</v>
      </c>
      <c r="D232" s="30" t="s">
        <v>2374</v>
      </c>
      <c r="E232" s="30" t="s">
        <v>2321</v>
      </c>
      <c r="F232" s="30" t="s">
        <v>1970</v>
      </c>
      <c r="G232" s="30" t="s">
        <v>1013</v>
      </c>
      <c r="H232" s="30" t="s">
        <v>1955</v>
      </c>
      <c r="I232" s="30" t="s">
        <v>2228</v>
      </c>
      <c r="J232" s="30">
        <v>2200</v>
      </c>
      <c r="K232" s="30" t="s">
        <v>1845</v>
      </c>
      <c r="L232" s="6" t="str">
        <f t="shared" si="31"/>
        <v>PWM, 7.5KW, INCREMENTAL, DOOR SUS, 2200, LEFT HINGE</v>
      </c>
      <c r="N232" t="s">
        <v>99</v>
      </c>
      <c r="O232" t="s">
        <v>2229</v>
      </c>
      <c r="P232" t="s">
        <v>1971</v>
      </c>
      <c r="Q232">
        <f t="shared" si="32"/>
        <v>2200</v>
      </c>
      <c r="R232" t="str">
        <f t="shared" si="33"/>
        <v>7.5KW</v>
      </c>
      <c r="S232" t="str">
        <f t="shared" si="34"/>
        <v>INCREMENTAL</v>
      </c>
      <c r="T232" t="str">
        <f t="shared" si="35"/>
        <v>LEFT HINGE</v>
      </c>
      <c r="U232" t="str">
        <f t="shared" si="36"/>
        <v>MRLDOOR만 SUS-HL회생형22007.5KWINCREMENTALLEFT HINGE</v>
      </c>
      <c r="V232" t="str">
        <f t="shared" si="37"/>
        <v>20411107G3300</v>
      </c>
      <c r="W232" t="str">
        <f t="shared" si="38"/>
        <v>WBSS-SE PWM</v>
      </c>
      <c r="X232" s="1" t="s">
        <v>1992</v>
      </c>
      <c r="Y232" s="1" t="s">
        <v>1993</v>
      </c>
      <c r="Z232" t="s">
        <v>1974</v>
      </c>
      <c r="AA232" t="s">
        <v>2322</v>
      </c>
    </row>
    <row r="233" spans="1:27">
      <c r="A233" s="32">
        <f t="shared" ca="1" si="30"/>
        <v>222</v>
      </c>
      <c r="B233" s="30" t="s">
        <v>2099</v>
      </c>
      <c r="C233" s="30" t="s">
        <v>746</v>
      </c>
      <c r="D233" s="30" t="s">
        <v>2375</v>
      </c>
      <c r="E233" s="30" t="s">
        <v>2321</v>
      </c>
      <c r="F233" s="30" t="s">
        <v>1970</v>
      </c>
      <c r="G233" s="30" t="s">
        <v>1016</v>
      </c>
      <c r="H233" s="30" t="s">
        <v>1955</v>
      </c>
      <c r="I233" s="30" t="s">
        <v>2228</v>
      </c>
      <c r="J233" s="30">
        <v>2200</v>
      </c>
      <c r="K233" s="30" t="s">
        <v>1845</v>
      </c>
      <c r="L233" s="6" t="str">
        <f t="shared" si="31"/>
        <v>PWM, 11KW, INCREMENTAL, DOOR SUS, 2200, LEFT HINGE</v>
      </c>
      <c r="N233" t="s">
        <v>99</v>
      </c>
      <c r="O233" t="s">
        <v>2229</v>
      </c>
      <c r="P233" t="s">
        <v>1971</v>
      </c>
      <c r="Q233">
        <f t="shared" si="32"/>
        <v>2200</v>
      </c>
      <c r="R233" t="str">
        <f t="shared" si="33"/>
        <v>11KW</v>
      </c>
      <c r="S233" t="str">
        <f t="shared" si="34"/>
        <v>INCREMENTAL</v>
      </c>
      <c r="T233" t="str">
        <f t="shared" si="35"/>
        <v>LEFT HINGE</v>
      </c>
      <c r="U233" t="str">
        <f t="shared" si="36"/>
        <v>MRLDOOR만 SUS-HL회생형220011KWINCREMENTALLEFT HINGE</v>
      </c>
      <c r="V233" t="str">
        <f t="shared" si="37"/>
        <v>20411107G3400</v>
      </c>
      <c r="W233" t="str">
        <f t="shared" si="38"/>
        <v>WBSS-SE PWM</v>
      </c>
      <c r="X233" s="1" t="s">
        <v>1995</v>
      </c>
      <c r="Y233" s="1" t="s">
        <v>1996</v>
      </c>
      <c r="Z233" t="s">
        <v>1979</v>
      </c>
      <c r="AA233" t="s">
        <v>2324</v>
      </c>
    </row>
    <row r="234" spans="1:27">
      <c r="A234" s="32">
        <f t="shared" ca="1" si="30"/>
        <v>223</v>
      </c>
      <c r="B234" s="30" t="s">
        <v>2099</v>
      </c>
      <c r="C234" s="30" t="s">
        <v>746</v>
      </c>
      <c r="D234" s="30" t="s">
        <v>2376</v>
      </c>
      <c r="E234" s="30" t="s">
        <v>2321</v>
      </c>
      <c r="F234" s="30" t="s">
        <v>1970</v>
      </c>
      <c r="G234" s="30" t="s">
        <v>1018</v>
      </c>
      <c r="H234" s="30" t="s">
        <v>1955</v>
      </c>
      <c r="I234" s="30" t="s">
        <v>2228</v>
      </c>
      <c r="J234" s="30">
        <v>2200</v>
      </c>
      <c r="K234" s="30" t="s">
        <v>1845</v>
      </c>
      <c r="L234" s="6" t="str">
        <f t="shared" si="31"/>
        <v>PWM, 15KW, INCREMENTAL, DOOR SUS, 2200, LEFT HINGE</v>
      </c>
      <c r="N234" t="s">
        <v>99</v>
      </c>
      <c r="O234" t="s">
        <v>2229</v>
      </c>
      <c r="P234" t="s">
        <v>1971</v>
      </c>
      <c r="Q234">
        <f t="shared" si="32"/>
        <v>2200</v>
      </c>
      <c r="R234" t="str">
        <f t="shared" si="33"/>
        <v>15KW</v>
      </c>
      <c r="S234" t="str">
        <f t="shared" si="34"/>
        <v>INCREMENTAL</v>
      </c>
      <c r="T234" t="str">
        <f t="shared" si="35"/>
        <v>LEFT HINGE</v>
      </c>
      <c r="U234" t="str">
        <f t="shared" si="36"/>
        <v>MRLDOOR만 SUS-HL회생형220015KWINCREMENTALLEFT HINGE</v>
      </c>
      <c r="V234" t="str">
        <f t="shared" si="37"/>
        <v>20411107G3500</v>
      </c>
      <c r="W234" t="str">
        <f t="shared" si="38"/>
        <v>WBSS-SE PWM</v>
      </c>
      <c r="X234" s="1" t="s">
        <v>1998</v>
      </c>
      <c r="Y234" s="1" t="s">
        <v>1999</v>
      </c>
      <c r="Z234" t="s">
        <v>1984</v>
      </c>
      <c r="AA234" t="s">
        <v>2326</v>
      </c>
    </row>
    <row r="235" spans="1:27">
      <c r="A235" s="32">
        <f t="shared" ca="1" si="30"/>
        <v>224</v>
      </c>
      <c r="B235" s="30" t="s">
        <v>2099</v>
      </c>
      <c r="C235" s="30" t="s">
        <v>746</v>
      </c>
      <c r="D235" s="30" t="s">
        <v>2377</v>
      </c>
      <c r="E235" s="30" t="s">
        <v>2328</v>
      </c>
      <c r="F235" s="30" t="s">
        <v>1970</v>
      </c>
      <c r="G235" s="30" t="s">
        <v>1020</v>
      </c>
      <c r="H235" s="30" t="s">
        <v>1955</v>
      </c>
      <c r="I235" s="30" t="s">
        <v>2228</v>
      </c>
      <c r="J235" s="30">
        <v>2200</v>
      </c>
      <c r="K235" s="30" t="s">
        <v>1845</v>
      </c>
      <c r="L235" s="6" t="str">
        <f t="shared" si="31"/>
        <v>PWM, 22KW, INCREMENTAL, DOOR SUS, 2200, LEFT HINGE</v>
      </c>
      <c r="N235" t="s">
        <v>99</v>
      </c>
      <c r="O235" t="s">
        <v>2229</v>
      </c>
      <c r="P235" t="s">
        <v>1971</v>
      </c>
      <c r="Q235">
        <f t="shared" si="32"/>
        <v>2200</v>
      </c>
      <c r="R235" t="str">
        <f t="shared" si="33"/>
        <v>22KW</v>
      </c>
      <c r="S235" t="str">
        <f t="shared" si="34"/>
        <v>INCREMENTAL</v>
      </c>
      <c r="T235" t="str">
        <f t="shared" si="35"/>
        <v>LEFT HINGE</v>
      </c>
      <c r="U235" t="str">
        <f t="shared" si="36"/>
        <v>MRLDOOR만 SUS-HL회생형220022KWINCREMENTALLEFT HINGE</v>
      </c>
      <c r="V235" t="str">
        <f t="shared" si="37"/>
        <v>20411107G3600</v>
      </c>
      <c r="W235" t="str">
        <f t="shared" si="38"/>
        <v>WBSS-SE PWM</v>
      </c>
      <c r="X235" s="1" t="s">
        <v>2001</v>
      </c>
      <c r="Y235" s="1" t="s">
        <v>2002</v>
      </c>
      <c r="Z235" t="s">
        <v>1989</v>
      </c>
      <c r="AA235" t="s">
        <v>2329</v>
      </c>
    </row>
    <row r="236" spans="1:27">
      <c r="A236" s="32">
        <f t="shared" ca="1" si="30"/>
        <v>225</v>
      </c>
      <c r="B236" s="30" t="s">
        <v>2099</v>
      </c>
      <c r="C236" s="30" t="s">
        <v>746</v>
      </c>
      <c r="D236" s="30" t="s">
        <v>2378</v>
      </c>
      <c r="E236" s="30" t="s">
        <v>2331</v>
      </c>
      <c r="F236" s="30" t="s">
        <v>1970</v>
      </c>
      <c r="G236" s="30" t="s">
        <v>1013</v>
      </c>
      <c r="H236" s="30" t="s">
        <v>1955</v>
      </c>
      <c r="I236" s="30" t="s">
        <v>2228</v>
      </c>
      <c r="J236" s="30">
        <v>2400</v>
      </c>
      <c r="K236" s="30" t="s">
        <v>1845</v>
      </c>
      <c r="L236" s="6" t="str">
        <f t="shared" si="31"/>
        <v>PWM, 7.5KW, INCREMENTAL, DOOR SUS, 2400, LEFT HINGE</v>
      </c>
      <c r="N236" t="s">
        <v>99</v>
      </c>
      <c r="O236" t="s">
        <v>2229</v>
      </c>
      <c r="P236" t="s">
        <v>1971</v>
      </c>
      <c r="Q236">
        <f t="shared" si="32"/>
        <v>2400</v>
      </c>
      <c r="R236" t="str">
        <f t="shared" si="33"/>
        <v>7.5KW</v>
      </c>
      <c r="S236" t="str">
        <f t="shared" si="34"/>
        <v>INCREMENTAL</v>
      </c>
      <c r="T236" t="str">
        <f t="shared" si="35"/>
        <v>LEFT HINGE</v>
      </c>
      <c r="U236" t="str">
        <f t="shared" si="36"/>
        <v>MRLDOOR만 SUS-HL회생형24007.5KWINCREMENTALLEFT HINGE</v>
      </c>
      <c r="V236" t="str">
        <f t="shared" si="37"/>
        <v>20411107G3700</v>
      </c>
      <c r="W236" t="str">
        <f t="shared" si="38"/>
        <v>WBSS-SE PWM</v>
      </c>
      <c r="X236" s="1" t="s">
        <v>1992</v>
      </c>
      <c r="Y236" s="1" t="s">
        <v>1993</v>
      </c>
      <c r="Z236" t="s">
        <v>1974</v>
      </c>
      <c r="AA236" t="s">
        <v>2332</v>
      </c>
    </row>
    <row r="237" spans="1:27">
      <c r="A237" s="32">
        <f t="shared" ca="1" si="30"/>
        <v>226</v>
      </c>
      <c r="B237" s="30" t="s">
        <v>2099</v>
      </c>
      <c r="C237" s="30" t="s">
        <v>746</v>
      </c>
      <c r="D237" s="30" t="s">
        <v>2379</v>
      </c>
      <c r="E237" s="30" t="s">
        <v>2331</v>
      </c>
      <c r="F237" s="30" t="s">
        <v>1970</v>
      </c>
      <c r="G237" s="30" t="s">
        <v>1016</v>
      </c>
      <c r="H237" s="30" t="s">
        <v>1955</v>
      </c>
      <c r="I237" s="30" t="s">
        <v>2228</v>
      </c>
      <c r="J237" s="30">
        <v>2400</v>
      </c>
      <c r="K237" s="30" t="s">
        <v>1845</v>
      </c>
      <c r="L237" s="6" t="str">
        <f t="shared" si="31"/>
        <v>PWM, 11KW, INCREMENTAL, DOOR SUS, 2400, LEFT HINGE</v>
      </c>
      <c r="N237" t="s">
        <v>99</v>
      </c>
      <c r="O237" t="s">
        <v>2229</v>
      </c>
      <c r="P237" t="s">
        <v>1971</v>
      </c>
      <c r="Q237">
        <f t="shared" si="32"/>
        <v>2400</v>
      </c>
      <c r="R237" t="str">
        <f t="shared" si="33"/>
        <v>11KW</v>
      </c>
      <c r="S237" t="str">
        <f t="shared" si="34"/>
        <v>INCREMENTAL</v>
      </c>
      <c r="T237" t="str">
        <f t="shared" si="35"/>
        <v>LEFT HINGE</v>
      </c>
      <c r="U237" t="str">
        <f t="shared" si="36"/>
        <v>MRLDOOR만 SUS-HL회생형240011KWINCREMENTALLEFT HINGE</v>
      </c>
      <c r="V237" t="str">
        <f t="shared" si="37"/>
        <v>20411107G3800</v>
      </c>
      <c r="W237" t="str">
        <f t="shared" si="38"/>
        <v>WBSS-SE PWM</v>
      </c>
      <c r="X237" s="1" t="s">
        <v>1995</v>
      </c>
      <c r="Y237" s="1" t="s">
        <v>1996</v>
      </c>
      <c r="Z237" t="s">
        <v>1979</v>
      </c>
      <c r="AA237" t="s">
        <v>2334</v>
      </c>
    </row>
    <row r="238" spans="1:27">
      <c r="A238" s="32">
        <f t="shared" ca="1" si="30"/>
        <v>227</v>
      </c>
      <c r="B238" s="30" t="s">
        <v>2099</v>
      </c>
      <c r="C238" s="30" t="s">
        <v>746</v>
      </c>
      <c r="D238" s="30" t="s">
        <v>2380</v>
      </c>
      <c r="E238" s="30" t="s">
        <v>2331</v>
      </c>
      <c r="F238" s="30" t="s">
        <v>1970</v>
      </c>
      <c r="G238" s="30" t="s">
        <v>1018</v>
      </c>
      <c r="H238" s="30" t="s">
        <v>1955</v>
      </c>
      <c r="I238" s="30" t="s">
        <v>2228</v>
      </c>
      <c r="J238" s="30">
        <v>2400</v>
      </c>
      <c r="K238" s="30" t="s">
        <v>1845</v>
      </c>
      <c r="L238" s="6" t="str">
        <f t="shared" si="31"/>
        <v>PWM, 15KW, INCREMENTAL, DOOR SUS, 2400, LEFT HINGE</v>
      </c>
      <c r="N238" t="s">
        <v>99</v>
      </c>
      <c r="O238" t="s">
        <v>2229</v>
      </c>
      <c r="P238" t="s">
        <v>1971</v>
      </c>
      <c r="Q238">
        <f t="shared" si="32"/>
        <v>2400</v>
      </c>
      <c r="R238" t="str">
        <f t="shared" si="33"/>
        <v>15KW</v>
      </c>
      <c r="S238" t="str">
        <f t="shared" si="34"/>
        <v>INCREMENTAL</v>
      </c>
      <c r="T238" t="str">
        <f t="shared" si="35"/>
        <v>LEFT HINGE</v>
      </c>
      <c r="U238" t="str">
        <f t="shared" si="36"/>
        <v>MRLDOOR만 SUS-HL회생형240015KWINCREMENTALLEFT HINGE</v>
      </c>
      <c r="V238" t="str">
        <f t="shared" si="37"/>
        <v>20411107G3900</v>
      </c>
      <c r="W238" t="str">
        <f t="shared" si="38"/>
        <v>WBSS-SE PWM</v>
      </c>
      <c r="X238" s="1" t="s">
        <v>1998</v>
      </c>
      <c r="Y238" s="1" t="s">
        <v>1999</v>
      </c>
      <c r="Z238" t="s">
        <v>1984</v>
      </c>
      <c r="AA238" t="s">
        <v>2336</v>
      </c>
    </row>
    <row r="239" spans="1:27">
      <c r="A239" s="32">
        <f t="shared" ca="1" si="30"/>
        <v>228</v>
      </c>
      <c r="B239" s="30" t="s">
        <v>2099</v>
      </c>
      <c r="C239" s="30" t="s">
        <v>746</v>
      </c>
      <c r="D239" s="30" t="s">
        <v>2381</v>
      </c>
      <c r="E239" s="30" t="s">
        <v>2338</v>
      </c>
      <c r="F239" s="30" t="s">
        <v>1970</v>
      </c>
      <c r="G239" s="30" t="s">
        <v>1020</v>
      </c>
      <c r="H239" s="30" t="s">
        <v>1955</v>
      </c>
      <c r="I239" s="30" t="s">
        <v>2228</v>
      </c>
      <c r="J239" s="30">
        <v>2400</v>
      </c>
      <c r="K239" s="30" t="s">
        <v>1845</v>
      </c>
      <c r="L239" s="6" t="str">
        <f t="shared" si="31"/>
        <v>PWM, 22KW, INCREMENTAL, DOOR SUS, 2400, LEFT HINGE</v>
      </c>
      <c r="N239" t="s">
        <v>99</v>
      </c>
      <c r="O239" t="s">
        <v>2229</v>
      </c>
      <c r="P239" t="s">
        <v>1971</v>
      </c>
      <c r="Q239">
        <f t="shared" si="32"/>
        <v>2400</v>
      </c>
      <c r="R239" t="str">
        <f t="shared" si="33"/>
        <v>22KW</v>
      </c>
      <c r="S239" t="str">
        <f t="shared" si="34"/>
        <v>INCREMENTAL</v>
      </c>
      <c r="T239" t="str">
        <f t="shared" si="35"/>
        <v>LEFT HINGE</v>
      </c>
      <c r="U239" t="str">
        <f t="shared" si="36"/>
        <v>MRLDOOR만 SUS-HL회생형240022KWINCREMENTALLEFT HINGE</v>
      </c>
      <c r="V239" t="str">
        <f t="shared" si="37"/>
        <v>20411107G4000</v>
      </c>
      <c r="W239" t="str">
        <f t="shared" si="38"/>
        <v>WBSS-SE PWM</v>
      </c>
      <c r="X239" s="1" t="s">
        <v>2001</v>
      </c>
      <c r="Y239" s="1" t="s">
        <v>2002</v>
      </c>
      <c r="Z239" t="s">
        <v>1989</v>
      </c>
      <c r="AA239" t="s">
        <v>2339</v>
      </c>
    </row>
    <row r="240" spans="1:27">
      <c r="A240" s="32">
        <f t="shared" ca="1" si="30"/>
        <v>229</v>
      </c>
      <c r="B240" s="30" t="s">
        <v>2099</v>
      </c>
      <c r="C240" s="30" t="s">
        <v>746</v>
      </c>
      <c r="D240" s="30" t="s">
        <v>2382</v>
      </c>
      <c r="E240" s="30" t="s">
        <v>2341</v>
      </c>
      <c r="F240" s="30" t="s">
        <v>1970</v>
      </c>
      <c r="G240" s="30" t="s">
        <v>1013</v>
      </c>
      <c r="H240" s="30" t="s">
        <v>1955</v>
      </c>
      <c r="I240" s="30" t="s">
        <v>2228</v>
      </c>
      <c r="J240" s="30">
        <v>2100</v>
      </c>
      <c r="K240" s="30" t="s">
        <v>1853</v>
      </c>
      <c r="L240" s="6" t="str">
        <f t="shared" si="31"/>
        <v>PWM, 7.5KW, INCREMENTAL, DOOR SUS, 2100, RIGHT HINGE</v>
      </c>
      <c r="N240" t="s">
        <v>99</v>
      </c>
      <c r="O240" t="s">
        <v>2229</v>
      </c>
      <c r="P240" t="s">
        <v>1971</v>
      </c>
      <c r="Q240">
        <f t="shared" si="32"/>
        <v>2100</v>
      </c>
      <c r="R240" t="str">
        <f t="shared" si="33"/>
        <v>7.5KW</v>
      </c>
      <c r="S240" t="str">
        <f t="shared" si="34"/>
        <v>INCREMENTAL</v>
      </c>
      <c r="T240" t="str">
        <f t="shared" si="35"/>
        <v>RIGHT HINGE</v>
      </c>
      <c r="U240" t="str">
        <f t="shared" si="36"/>
        <v>MRLDOOR만 SUS-HL회생형21007.5KWINCREMENTALRIGHT HINGE</v>
      </c>
      <c r="V240" t="str">
        <f t="shared" si="37"/>
        <v>20411107G4100</v>
      </c>
      <c r="W240" t="str">
        <f t="shared" si="38"/>
        <v>WBSS-SE PWM</v>
      </c>
      <c r="X240" s="1" t="s">
        <v>1992</v>
      </c>
      <c r="Y240" s="1" t="s">
        <v>1993</v>
      </c>
      <c r="Z240" t="s">
        <v>1974</v>
      </c>
      <c r="AA240" t="s">
        <v>2342</v>
      </c>
    </row>
    <row r="241" spans="1:27">
      <c r="A241" s="32">
        <f t="shared" ca="1" si="30"/>
        <v>230</v>
      </c>
      <c r="B241" s="30" t="s">
        <v>2099</v>
      </c>
      <c r="C241" s="30" t="s">
        <v>746</v>
      </c>
      <c r="D241" s="30" t="s">
        <v>2383</v>
      </c>
      <c r="E241" s="30" t="s">
        <v>2341</v>
      </c>
      <c r="F241" s="30" t="s">
        <v>1970</v>
      </c>
      <c r="G241" s="30" t="s">
        <v>1016</v>
      </c>
      <c r="H241" s="30" t="s">
        <v>1955</v>
      </c>
      <c r="I241" s="30" t="s">
        <v>2228</v>
      </c>
      <c r="J241" s="30">
        <v>2100</v>
      </c>
      <c r="K241" s="30" t="s">
        <v>1853</v>
      </c>
      <c r="L241" s="6" t="str">
        <f t="shared" si="31"/>
        <v>PWM, 11KW, INCREMENTAL, DOOR SUS, 2100, RIGHT HINGE</v>
      </c>
      <c r="N241" t="s">
        <v>99</v>
      </c>
      <c r="O241" t="s">
        <v>2229</v>
      </c>
      <c r="P241" t="s">
        <v>1971</v>
      </c>
      <c r="Q241">
        <f t="shared" si="32"/>
        <v>2100</v>
      </c>
      <c r="R241" t="str">
        <f t="shared" si="33"/>
        <v>11KW</v>
      </c>
      <c r="S241" t="str">
        <f t="shared" si="34"/>
        <v>INCREMENTAL</v>
      </c>
      <c r="T241" t="str">
        <f t="shared" si="35"/>
        <v>RIGHT HINGE</v>
      </c>
      <c r="U241" t="str">
        <f t="shared" si="36"/>
        <v>MRLDOOR만 SUS-HL회생형210011KWINCREMENTALRIGHT HINGE</v>
      </c>
      <c r="V241" t="str">
        <f t="shared" si="37"/>
        <v>20411107G4200</v>
      </c>
      <c r="W241" t="str">
        <f t="shared" si="38"/>
        <v>WBSS-SE PWM</v>
      </c>
      <c r="X241" s="1" t="s">
        <v>1995</v>
      </c>
      <c r="Y241" s="1" t="s">
        <v>1996</v>
      </c>
      <c r="Z241" t="s">
        <v>1979</v>
      </c>
      <c r="AA241" t="s">
        <v>2344</v>
      </c>
    </row>
    <row r="242" spans="1:27">
      <c r="A242" s="32">
        <f t="shared" ca="1" si="30"/>
        <v>231</v>
      </c>
      <c r="B242" s="30" t="s">
        <v>2099</v>
      </c>
      <c r="C242" s="30" t="s">
        <v>746</v>
      </c>
      <c r="D242" s="30" t="s">
        <v>2384</v>
      </c>
      <c r="E242" s="30" t="s">
        <v>2341</v>
      </c>
      <c r="F242" s="30" t="s">
        <v>1970</v>
      </c>
      <c r="G242" s="30" t="s">
        <v>1018</v>
      </c>
      <c r="H242" s="30" t="s">
        <v>1955</v>
      </c>
      <c r="I242" s="30" t="s">
        <v>2228</v>
      </c>
      <c r="J242" s="30">
        <v>2100</v>
      </c>
      <c r="K242" s="30" t="s">
        <v>1853</v>
      </c>
      <c r="L242" s="6" t="str">
        <f t="shared" si="31"/>
        <v>PWM, 15KW, INCREMENTAL, DOOR SUS, 2100, RIGHT HINGE</v>
      </c>
      <c r="N242" t="s">
        <v>99</v>
      </c>
      <c r="O242" t="s">
        <v>2229</v>
      </c>
      <c r="P242" t="s">
        <v>1971</v>
      </c>
      <c r="Q242">
        <f t="shared" si="32"/>
        <v>2100</v>
      </c>
      <c r="R242" t="str">
        <f t="shared" si="33"/>
        <v>15KW</v>
      </c>
      <c r="S242" t="str">
        <f t="shared" si="34"/>
        <v>INCREMENTAL</v>
      </c>
      <c r="T242" t="str">
        <f t="shared" si="35"/>
        <v>RIGHT HINGE</v>
      </c>
      <c r="U242" t="str">
        <f t="shared" si="36"/>
        <v>MRLDOOR만 SUS-HL회생형210015KWINCREMENTALRIGHT HINGE</v>
      </c>
      <c r="V242" t="str">
        <f t="shared" si="37"/>
        <v>20411107G4300</v>
      </c>
      <c r="W242" t="str">
        <f t="shared" si="38"/>
        <v>WBSS-SE PWM</v>
      </c>
      <c r="X242" s="1" t="s">
        <v>1998</v>
      </c>
      <c r="Y242" s="1" t="s">
        <v>1999</v>
      </c>
      <c r="Z242" t="s">
        <v>1984</v>
      </c>
      <c r="AA242" t="s">
        <v>2346</v>
      </c>
    </row>
    <row r="243" spans="1:27">
      <c r="A243" s="32">
        <f t="shared" ca="1" si="30"/>
        <v>232</v>
      </c>
      <c r="B243" s="30" t="s">
        <v>2099</v>
      </c>
      <c r="C243" s="30" t="s">
        <v>746</v>
      </c>
      <c r="D243" s="30" t="s">
        <v>2385</v>
      </c>
      <c r="E243" s="30" t="s">
        <v>2348</v>
      </c>
      <c r="F243" s="30" t="s">
        <v>1970</v>
      </c>
      <c r="G243" s="30" t="s">
        <v>1020</v>
      </c>
      <c r="H243" s="30" t="s">
        <v>1955</v>
      </c>
      <c r="I243" s="30" t="s">
        <v>2228</v>
      </c>
      <c r="J243" s="30">
        <v>2100</v>
      </c>
      <c r="K243" s="30" t="s">
        <v>1853</v>
      </c>
      <c r="L243" s="6" t="str">
        <f t="shared" si="31"/>
        <v>PWM, 22KW, INCREMENTAL, DOOR SUS, 2100, RIGHT HINGE</v>
      </c>
      <c r="N243" t="s">
        <v>99</v>
      </c>
      <c r="O243" t="s">
        <v>2229</v>
      </c>
      <c r="P243" t="s">
        <v>1971</v>
      </c>
      <c r="Q243">
        <f t="shared" si="32"/>
        <v>2100</v>
      </c>
      <c r="R243" t="str">
        <f t="shared" si="33"/>
        <v>22KW</v>
      </c>
      <c r="S243" t="str">
        <f t="shared" si="34"/>
        <v>INCREMENTAL</v>
      </c>
      <c r="T243" t="str">
        <f t="shared" si="35"/>
        <v>RIGHT HINGE</v>
      </c>
      <c r="U243" t="str">
        <f t="shared" si="36"/>
        <v>MRLDOOR만 SUS-HL회생형210022KWINCREMENTALRIGHT HINGE</v>
      </c>
      <c r="V243" t="str">
        <f t="shared" si="37"/>
        <v>20411107G4400</v>
      </c>
      <c r="W243" t="str">
        <f t="shared" si="38"/>
        <v>WBSS-SE PWM</v>
      </c>
      <c r="X243" s="1" t="s">
        <v>2001</v>
      </c>
      <c r="Y243" s="1" t="s">
        <v>2002</v>
      </c>
      <c r="Z243" t="s">
        <v>1989</v>
      </c>
      <c r="AA243" t="s">
        <v>2349</v>
      </c>
    </row>
    <row r="244" spans="1:27">
      <c r="A244" s="32">
        <f t="shared" ca="1" si="30"/>
        <v>233</v>
      </c>
      <c r="B244" s="30" t="s">
        <v>2099</v>
      </c>
      <c r="C244" s="30" t="s">
        <v>746</v>
      </c>
      <c r="D244" s="30" t="s">
        <v>2386</v>
      </c>
      <c r="E244" s="30" t="s">
        <v>2351</v>
      </c>
      <c r="F244" s="30" t="s">
        <v>1970</v>
      </c>
      <c r="G244" s="30" t="s">
        <v>1013</v>
      </c>
      <c r="H244" s="30" t="s">
        <v>1955</v>
      </c>
      <c r="I244" s="30" t="s">
        <v>2228</v>
      </c>
      <c r="J244" s="30">
        <v>2200</v>
      </c>
      <c r="K244" s="30" t="s">
        <v>1853</v>
      </c>
      <c r="L244" s="6" t="str">
        <f t="shared" si="31"/>
        <v>PWM, 7.5KW, INCREMENTAL, DOOR SUS, 2200, RIGHT HINGE</v>
      </c>
      <c r="N244" t="s">
        <v>99</v>
      </c>
      <c r="O244" t="s">
        <v>2229</v>
      </c>
      <c r="P244" t="s">
        <v>1971</v>
      </c>
      <c r="Q244">
        <f t="shared" si="32"/>
        <v>2200</v>
      </c>
      <c r="R244" t="str">
        <f t="shared" si="33"/>
        <v>7.5KW</v>
      </c>
      <c r="S244" t="str">
        <f t="shared" si="34"/>
        <v>INCREMENTAL</v>
      </c>
      <c r="T244" t="str">
        <f t="shared" si="35"/>
        <v>RIGHT HINGE</v>
      </c>
      <c r="U244" t="str">
        <f t="shared" si="36"/>
        <v>MRLDOOR만 SUS-HL회생형22007.5KWINCREMENTALRIGHT HINGE</v>
      </c>
      <c r="V244" t="str">
        <f t="shared" si="37"/>
        <v>20411107G4500</v>
      </c>
      <c r="W244" t="str">
        <f t="shared" si="38"/>
        <v>WBSS-SE PWM</v>
      </c>
      <c r="X244" s="1" t="s">
        <v>1992</v>
      </c>
      <c r="Y244" s="1" t="s">
        <v>1993</v>
      </c>
      <c r="Z244" t="s">
        <v>1974</v>
      </c>
      <c r="AA244" t="s">
        <v>2352</v>
      </c>
    </row>
    <row r="245" spans="1:27">
      <c r="A245" s="32">
        <f t="shared" ca="1" si="30"/>
        <v>234</v>
      </c>
      <c r="B245" s="30" t="s">
        <v>2099</v>
      </c>
      <c r="C245" s="30" t="s">
        <v>746</v>
      </c>
      <c r="D245" s="30" t="s">
        <v>2387</v>
      </c>
      <c r="E245" s="30" t="s">
        <v>2351</v>
      </c>
      <c r="F245" s="30" t="s">
        <v>1970</v>
      </c>
      <c r="G245" s="30" t="s">
        <v>1016</v>
      </c>
      <c r="H245" s="30" t="s">
        <v>1955</v>
      </c>
      <c r="I245" s="30" t="s">
        <v>2228</v>
      </c>
      <c r="J245" s="30">
        <v>2200</v>
      </c>
      <c r="K245" s="30" t="s">
        <v>1853</v>
      </c>
      <c r="L245" s="6" t="str">
        <f t="shared" si="31"/>
        <v>PWM, 11KW, INCREMENTAL, DOOR SUS, 2200, RIGHT HINGE</v>
      </c>
      <c r="N245" t="s">
        <v>99</v>
      </c>
      <c r="O245" t="s">
        <v>2229</v>
      </c>
      <c r="P245" t="s">
        <v>1971</v>
      </c>
      <c r="Q245">
        <f t="shared" si="32"/>
        <v>2200</v>
      </c>
      <c r="R245" t="str">
        <f t="shared" si="33"/>
        <v>11KW</v>
      </c>
      <c r="S245" t="str">
        <f t="shared" si="34"/>
        <v>INCREMENTAL</v>
      </c>
      <c r="T245" t="str">
        <f t="shared" si="35"/>
        <v>RIGHT HINGE</v>
      </c>
      <c r="U245" t="str">
        <f t="shared" si="36"/>
        <v>MRLDOOR만 SUS-HL회생형220011KWINCREMENTALRIGHT HINGE</v>
      </c>
      <c r="V245" t="str">
        <f t="shared" si="37"/>
        <v>20411107G4600</v>
      </c>
      <c r="W245" t="str">
        <f t="shared" si="38"/>
        <v>WBSS-SE PWM</v>
      </c>
      <c r="X245" s="1" t="s">
        <v>1995</v>
      </c>
      <c r="Y245" s="1" t="s">
        <v>1996</v>
      </c>
      <c r="Z245" t="s">
        <v>1979</v>
      </c>
      <c r="AA245" t="s">
        <v>2354</v>
      </c>
    </row>
    <row r="246" spans="1:27">
      <c r="A246" s="32">
        <f t="shared" ca="1" si="30"/>
        <v>235</v>
      </c>
      <c r="B246" s="30" t="s">
        <v>2099</v>
      </c>
      <c r="C246" s="30" t="s">
        <v>746</v>
      </c>
      <c r="D246" s="30" t="s">
        <v>2388</v>
      </c>
      <c r="E246" s="30" t="s">
        <v>2351</v>
      </c>
      <c r="F246" s="30" t="s">
        <v>1970</v>
      </c>
      <c r="G246" s="30" t="s">
        <v>1018</v>
      </c>
      <c r="H246" s="30" t="s">
        <v>1955</v>
      </c>
      <c r="I246" s="30" t="s">
        <v>2228</v>
      </c>
      <c r="J246" s="30">
        <v>2200</v>
      </c>
      <c r="K246" s="30" t="s">
        <v>1853</v>
      </c>
      <c r="L246" s="6" t="str">
        <f t="shared" si="31"/>
        <v>PWM, 15KW, INCREMENTAL, DOOR SUS, 2200, RIGHT HINGE</v>
      </c>
      <c r="N246" t="s">
        <v>99</v>
      </c>
      <c r="O246" t="s">
        <v>2229</v>
      </c>
      <c r="P246" t="s">
        <v>1971</v>
      </c>
      <c r="Q246">
        <f t="shared" si="32"/>
        <v>2200</v>
      </c>
      <c r="R246" t="str">
        <f t="shared" si="33"/>
        <v>15KW</v>
      </c>
      <c r="S246" t="str">
        <f t="shared" si="34"/>
        <v>INCREMENTAL</v>
      </c>
      <c r="T246" t="str">
        <f t="shared" si="35"/>
        <v>RIGHT HINGE</v>
      </c>
      <c r="U246" t="str">
        <f t="shared" si="36"/>
        <v>MRLDOOR만 SUS-HL회생형220015KWINCREMENTALRIGHT HINGE</v>
      </c>
      <c r="V246" t="str">
        <f t="shared" si="37"/>
        <v>20411107G4700</v>
      </c>
      <c r="W246" t="str">
        <f t="shared" si="38"/>
        <v>WBSS-SE PWM</v>
      </c>
      <c r="X246" s="1" t="s">
        <v>1998</v>
      </c>
      <c r="Y246" s="1" t="s">
        <v>1999</v>
      </c>
      <c r="Z246" t="s">
        <v>1984</v>
      </c>
      <c r="AA246" t="s">
        <v>2356</v>
      </c>
    </row>
    <row r="247" spans="1:27">
      <c r="A247" s="32">
        <f t="shared" ca="1" si="30"/>
        <v>236</v>
      </c>
      <c r="B247" s="30" t="s">
        <v>2099</v>
      </c>
      <c r="C247" s="30" t="s">
        <v>746</v>
      </c>
      <c r="D247" s="30" t="s">
        <v>2389</v>
      </c>
      <c r="E247" s="30" t="s">
        <v>2358</v>
      </c>
      <c r="F247" s="30" t="s">
        <v>1970</v>
      </c>
      <c r="G247" s="30" t="s">
        <v>1020</v>
      </c>
      <c r="H247" s="30" t="s">
        <v>1955</v>
      </c>
      <c r="I247" s="30" t="s">
        <v>2228</v>
      </c>
      <c r="J247" s="30">
        <v>2200</v>
      </c>
      <c r="K247" s="30" t="s">
        <v>1853</v>
      </c>
      <c r="L247" s="6" t="str">
        <f t="shared" si="31"/>
        <v>PWM, 22KW, INCREMENTAL, DOOR SUS, 2200, RIGHT HINGE</v>
      </c>
      <c r="N247" t="s">
        <v>99</v>
      </c>
      <c r="O247" t="s">
        <v>2229</v>
      </c>
      <c r="P247" t="s">
        <v>1971</v>
      </c>
      <c r="Q247">
        <f t="shared" si="32"/>
        <v>2200</v>
      </c>
      <c r="R247" t="str">
        <f t="shared" si="33"/>
        <v>22KW</v>
      </c>
      <c r="S247" t="str">
        <f t="shared" si="34"/>
        <v>INCREMENTAL</v>
      </c>
      <c r="T247" t="str">
        <f t="shared" si="35"/>
        <v>RIGHT HINGE</v>
      </c>
      <c r="U247" t="str">
        <f t="shared" si="36"/>
        <v>MRLDOOR만 SUS-HL회생형220022KWINCREMENTALRIGHT HINGE</v>
      </c>
      <c r="V247" t="str">
        <f t="shared" si="37"/>
        <v>20411107G4800</v>
      </c>
      <c r="W247" t="str">
        <f t="shared" si="38"/>
        <v>WBSS-SE PWM</v>
      </c>
      <c r="X247" s="1" t="s">
        <v>2001</v>
      </c>
      <c r="Y247" s="1" t="s">
        <v>2002</v>
      </c>
      <c r="Z247" t="s">
        <v>1989</v>
      </c>
      <c r="AA247" t="s">
        <v>2359</v>
      </c>
    </row>
    <row r="248" spans="1:27">
      <c r="A248" s="32">
        <f t="shared" ca="1" si="30"/>
        <v>237</v>
      </c>
      <c r="B248" s="30" t="s">
        <v>2099</v>
      </c>
      <c r="C248" s="30" t="s">
        <v>746</v>
      </c>
      <c r="D248" s="30" t="s">
        <v>2390</v>
      </c>
      <c r="E248" s="30" t="s">
        <v>2361</v>
      </c>
      <c r="F248" s="30" t="s">
        <v>1970</v>
      </c>
      <c r="G248" s="30" t="s">
        <v>1013</v>
      </c>
      <c r="H248" s="30" t="s">
        <v>1955</v>
      </c>
      <c r="I248" s="30" t="s">
        <v>2228</v>
      </c>
      <c r="J248" s="30">
        <v>2400</v>
      </c>
      <c r="K248" s="30" t="s">
        <v>1853</v>
      </c>
      <c r="L248" s="6" t="str">
        <f t="shared" si="31"/>
        <v>PWM, 7.5KW, INCREMENTAL, DOOR SUS, 2400, RIGHT HINGE</v>
      </c>
      <c r="N248" t="s">
        <v>99</v>
      </c>
      <c r="O248" t="s">
        <v>2229</v>
      </c>
      <c r="P248" t="s">
        <v>1971</v>
      </c>
      <c r="Q248">
        <f t="shared" si="32"/>
        <v>2400</v>
      </c>
      <c r="R248" t="str">
        <f t="shared" si="33"/>
        <v>7.5KW</v>
      </c>
      <c r="S248" t="str">
        <f t="shared" si="34"/>
        <v>INCREMENTAL</v>
      </c>
      <c r="T248" t="str">
        <f t="shared" si="35"/>
        <v>RIGHT HINGE</v>
      </c>
      <c r="U248" t="str">
        <f t="shared" si="36"/>
        <v>MRLDOOR만 SUS-HL회생형24007.5KWINCREMENTALRIGHT HINGE</v>
      </c>
      <c r="V248" t="str">
        <f t="shared" si="37"/>
        <v>20411107G4900</v>
      </c>
      <c r="W248" t="str">
        <f t="shared" si="38"/>
        <v>WBSS-SE PWM</v>
      </c>
      <c r="X248" s="1" t="s">
        <v>1992</v>
      </c>
      <c r="Y248" s="1" t="s">
        <v>1993</v>
      </c>
      <c r="Z248" t="s">
        <v>1974</v>
      </c>
      <c r="AA248" t="s">
        <v>2362</v>
      </c>
    </row>
    <row r="249" spans="1:27">
      <c r="A249" s="32">
        <f t="shared" ca="1" si="30"/>
        <v>238</v>
      </c>
      <c r="B249" s="30" t="s">
        <v>2099</v>
      </c>
      <c r="C249" s="30" t="s">
        <v>746</v>
      </c>
      <c r="D249" s="30" t="s">
        <v>2391</v>
      </c>
      <c r="E249" s="30" t="s">
        <v>2361</v>
      </c>
      <c r="F249" s="30" t="s">
        <v>1970</v>
      </c>
      <c r="G249" s="30" t="s">
        <v>1016</v>
      </c>
      <c r="H249" s="30" t="s">
        <v>1955</v>
      </c>
      <c r="I249" s="30" t="s">
        <v>2228</v>
      </c>
      <c r="J249" s="30">
        <v>2400</v>
      </c>
      <c r="K249" s="30" t="s">
        <v>1853</v>
      </c>
      <c r="L249" s="6" t="str">
        <f t="shared" si="31"/>
        <v>PWM, 11KW, INCREMENTAL, DOOR SUS, 2400, RIGHT HINGE</v>
      </c>
      <c r="N249" t="s">
        <v>99</v>
      </c>
      <c r="O249" t="s">
        <v>2229</v>
      </c>
      <c r="P249" t="s">
        <v>1971</v>
      </c>
      <c r="Q249">
        <f t="shared" si="32"/>
        <v>2400</v>
      </c>
      <c r="R249" t="str">
        <f t="shared" si="33"/>
        <v>11KW</v>
      </c>
      <c r="S249" t="str">
        <f t="shared" si="34"/>
        <v>INCREMENTAL</v>
      </c>
      <c r="T249" t="str">
        <f t="shared" si="35"/>
        <v>RIGHT HINGE</v>
      </c>
      <c r="U249" t="str">
        <f t="shared" si="36"/>
        <v>MRLDOOR만 SUS-HL회생형240011KWINCREMENTALRIGHT HINGE</v>
      </c>
      <c r="V249" t="str">
        <f t="shared" si="37"/>
        <v>20411107G5000</v>
      </c>
      <c r="W249" t="str">
        <f t="shared" si="38"/>
        <v>WBSS-SE PWM</v>
      </c>
      <c r="X249" s="1" t="s">
        <v>1995</v>
      </c>
      <c r="Y249" s="1" t="s">
        <v>1996</v>
      </c>
      <c r="Z249" t="s">
        <v>1979</v>
      </c>
      <c r="AA249" t="s">
        <v>2364</v>
      </c>
    </row>
    <row r="250" spans="1:27">
      <c r="A250" s="32">
        <f t="shared" ca="1" si="30"/>
        <v>239</v>
      </c>
      <c r="B250" s="30" t="s">
        <v>2099</v>
      </c>
      <c r="C250" s="30" t="s">
        <v>746</v>
      </c>
      <c r="D250" s="30" t="s">
        <v>2392</v>
      </c>
      <c r="E250" s="30" t="s">
        <v>2361</v>
      </c>
      <c r="F250" s="30" t="s">
        <v>1970</v>
      </c>
      <c r="G250" s="30" t="s">
        <v>1018</v>
      </c>
      <c r="H250" s="30" t="s">
        <v>1955</v>
      </c>
      <c r="I250" s="30" t="s">
        <v>2228</v>
      </c>
      <c r="J250" s="30">
        <v>2400</v>
      </c>
      <c r="K250" s="30" t="s">
        <v>1853</v>
      </c>
      <c r="L250" s="6" t="str">
        <f t="shared" si="31"/>
        <v>PWM, 15KW, INCREMENTAL, DOOR SUS, 2400, RIGHT HINGE</v>
      </c>
      <c r="N250" t="s">
        <v>99</v>
      </c>
      <c r="O250" t="s">
        <v>2229</v>
      </c>
      <c r="P250" t="s">
        <v>1971</v>
      </c>
      <c r="Q250">
        <f t="shared" si="32"/>
        <v>2400</v>
      </c>
      <c r="R250" t="str">
        <f t="shared" si="33"/>
        <v>15KW</v>
      </c>
      <c r="S250" t="str">
        <f t="shared" si="34"/>
        <v>INCREMENTAL</v>
      </c>
      <c r="T250" t="str">
        <f t="shared" si="35"/>
        <v>RIGHT HINGE</v>
      </c>
      <c r="U250" t="str">
        <f t="shared" si="36"/>
        <v>MRLDOOR만 SUS-HL회생형240015KWINCREMENTALRIGHT HINGE</v>
      </c>
      <c r="V250" t="str">
        <f t="shared" si="37"/>
        <v>20411107G5100</v>
      </c>
      <c r="W250" t="str">
        <f t="shared" si="38"/>
        <v>WBSS-SE PWM</v>
      </c>
      <c r="X250" s="1" t="s">
        <v>1998</v>
      </c>
      <c r="Y250" s="1" t="s">
        <v>1999</v>
      </c>
      <c r="Z250" t="s">
        <v>1984</v>
      </c>
      <c r="AA250" t="s">
        <v>2366</v>
      </c>
    </row>
    <row r="251" spans="1:27">
      <c r="A251" s="33">
        <f t="shared" ca="1" si="30"/>
        <v>240</v>
      </c>
      <c r="B251" s="31" t="s">
        <v>2099</v>
      </c>
      <c r="C251" s="31" t="s">
        <v>746</v>
      </c>
      <c r="D251" s="31" t="s">
        <v>2393</v>
      </c>
      <c r="E251" s="31" t="s">
        <v>2368</v>
      </c>
      <c r="F251" s="31" t="s">
        <v>1970</v>
      </c>
      <c r="G251" s="31" t="s">
        <v>1020</v>
      </c>
      <c r="H251" s="31" t="s">
        <v>1955</v>
      </c>
      <c r="I251" s="31" t="s">
        <v>2228</v>
      </c>
      <c r="J251" s="31">
        <v>2400</v>
      </c>
      <c r="K251" s="31" t="s">
        <v>1853</v>
      </c>
      <c r="L251" s="6" t="str">
        <f t="shared" si="31"/>
        <v>PWM, 22KW, INCREMENTAL, DOOR SUS, 2400, RIGHT HINGE</v>
      </c>
      <c r="N251" t="s">
        <v>99</v>
      </c>
      <c r="O251" t="s">
        <v>2229</v>
      </c>
      <c r="P251" t="s">
        <v>1971</v>
      </c>
      <c r="Q251">
        <f t="shared" si="32"/>
        <v>2400</v>
      </c>
      <c r="R251" t="str">
        <f t="shared" si="33"/>
        <v>22KW</v>
      </c>
      <c r="S251" t="str">
        <f t="shared" si="34"/>
        <v>INCREMENTAL</v>
      </c>
      <c r="T251" t="str">
        <f t="shared" si="35"/>
        <v>RIGHT HINGE</v>
      </c>
      <c r="U251" t="str">
        <f t="shared" si="36"/>
        <v>MRLDOOR만 SUS-HL회생형240022KWINCREMENTALRIGHT HINGE</v>
      </c>
      <c r="V251" t="str">
        <f t="shared" si="37"/>
        <v>20411107G5200</v>
      </c>
      <c r="W251" t="str">
        <f t="shared" si="38"/>
        <v>WBSS-SE PWM</v>
      </c>
      <c r="X251" s="1" t="s">
        <v>2001</v>
      </c>
      <c r="Y251" s="1" t="s">
        <v>2002</v>
      </c>
      <c r="Z251" t="s">
        <v>1989</v>
      </c>
      <c r="AA251" t="s">
        <v>2369</v>
      </c>
    </row>
    <row r="252" spans="1:27">
      <c r="A252" s="443">
        <f t="shared" ca="1" si="30"/>
        <v>241</v>
      </c>
      <c r="B252" s="444" t="s">
        <v>2394</v>
      </c>
      <c r="C252" s="444" t="s">
        <v>746</v>
      </c>
      <c r="D252" s="444" t="s">
        <v>1296</v>
      </c>
      <c r="E252" s="444" t="s">
        <v>2395</v>
      </c>
      <c r="F252" s="444" t="s">
        <v>1933</v>
      </c>
      <c r="G252" s="444" t="s">
        <v>2396</v>
      </c>
      <c r="H252" s="31" t="s">
        <v>1955</v>
      </c>
      <c r="I252" s="444" t="s">
        <v>1840</v>
      </c>
      <c r="J252" s="444"/>
      <c r="K252" s="445"/>
      <c r="L252" s="6" t="str">
        <f t="shared" si="31"/>
        <v xml:space="preserve">일반, 7.5kW, INCREMENTAL, GI+PAINT, , </v>
      </c>
      <c r="N252" t="s">
        <v>2397</v>
      </c>
      <c r="O252" t="str">
        <f t="shared" ref="O252:O259" si="39">I252</f>
        <v>GI+PAINT</v>
      </c>
      <c r="P252" t="s">
        <v>77</v>
      </c>
      <c r="R252" t="str">
        <f t="shared" si="33"/>
        <v>7.5kW</v>
      </c>
      <c r="S252" t="str">
        <f t="shared" si="34"/>
        <v>INCREMENTAL</v>
      </c>
      <c r="U252" t="str">
        <f>N252&amp;O252&amp;P252&amp;Q252&amp;R252&amp;S252&amp;T252</f>
        <v>GDGI+PAINT일반형7.5kWINCREMENTAL</v>
      </c>
      <c r="V252" t="str">
        <f t="shared" si="37"/>
        <v>20411310G0100</v>
      </c>
      <c r="W252" t="str">
        <f t="shared" si="38"/>
        <v>WBST-SE 일반형 (ELD일체형)</v>
      </c>
      <c r="X252" s="446" t="s">
        <v>2398</v>
      </c>
      <c r="Y252" s="1" t="s">
        <v>2399</v>
      </c>
      <c r="Z252" s="1" t="s">
        <v>1311</v>
      </c>
      <c r="AA252" s="444" t="s">
        <v>2400</v>
      </c>
    </row>
    <row r="253" spans="1:27">
      <c r="A253" s="447">
        <f t="shared" ca="1" si="30"/>
        <v>242</v>
      </c>
      <c r="B253" s="448" t="s">
        <v>2394</v>
      </c>
      <c r="C253" s="448" t="s">
        <v>746</v>
      </c>
      <c r="D253" s="448" t="s">
        <v>1297</v>
      </c>
      <c r="E253" s="448" t="s">
        <v>2401</v>
      </c>
      <c r="F253" s="448" t="s">
        <v>1933</v>
      </c>
      <c r="G253" s="448" t="s">
        <v>2402</v>
      </c>
      <c r="H253" s="31" t="s">
        <v>1955</v>
      </c>
      <c r="I253" s="448" t="s">
        <v>1840</v>
      </c>
      <c r="J253" s="448"/>
      <c r="K253" s="449"/>
      <c r="L253" s="6" t="str">
        <f t="shared" si="31"/>
        <v xml:space="preserve">일반, 11kW, INCREMENTAL, GI+PAINT, , </v>
      </c>
      <c r="N253" t="s">
        <v>2397</v>
      </c>
      <c r="O253" t="str">
        <f t="shared" si="39"/>
        <v>GI+PAINT</v>
      </c>
      <c r="P253" t="s">
        <v>77</v>
      </c>
      <c r="R253" t="str">
        <f t="shared" si="33"/>
        <v>11kW</v>
      </c>
      <c r="S253" t="str">
        <f t="shared" si="34"/>
        <v>INCREMENTAL</v>
      </c>
      <c r="U253" t="str">
        <f t="shared" si="36"/>
        <v>GDGI+PAINT일반형11kWINCREMENTAL</v>
      </c>
      <c r="V253" t="str">
        <f t="shared" si="37"/>
        <v>20411310G0200</v>
      </c>
      <c r="W253" t="str">
        <f t="shared" si="38"/>
        <v>WBST-SE 일반형 (ELD일체형)</v>
      </c>
      <c r="X253" s="446" t="s">
        <v>2403</v>
      </c>
      <c r="Y253" s="1" t="s">
        <v>2404</v>
      </c>
      <c r="Z253" s="1" t="s">
        <v>1356</v>
      </c>
      <c r="AA253" s="448" t="s">
        <v>2405</v>
      </c>
    </row>
    <row r="254" spans="1:27">
      <c r="A254" s="447">
        <f t="shared" ca="1" si="30"/>
        <v>243</v>
      </c>
      <c r="B254" s="448" t="s">
        <v>2394</v>
      </c>
      <c r="C254" s="448" t="s">
        <v>746</v>
      </c>
      <c r="D254" s="448" t="s">
        <v>2406</v>
      </c>
      <c r="E254" s="448" t="s">
        <v>2407</v>
      </c>
      <c r="F254" s="448" t="s">
        <v>1933</v>
      </c>
      <c r="G254" s="448" t="s">
        <v>1307</v>
      </c>
      <c r="H254" s="31" t="s">
        <v>1955</v>
      </c>
      <c r="I254" s="448" t="s">
        <v>1840</v>
      </c>
      <c r="J254" s="448"/>
      <c r="K254" s="449"/>
      <c r="L254" s="6" t="str">
        <f t="shared" si="31"/>
        <v xml:space="preserve">일반, 15kW, INCREMENTAL, GI+PAINT, , </v>
      </c>
      <c r="N254" t="s">
        <v>2397</v>
      </c>
      <c r="O254" t="str">
        <f t="shared" si="39"/>
        <v>GI+PAINT</v>
      </c>
      <c r="P254" t="s">
        <v>77</v>
      </c>
      <c r="R254" t="str">
        <f t="shared" si="33"/>
        <v>15kW</v>
      </c>
      <c r="S254" t="str">
        <f t="shared" si="34"/>
        <v>INCREMENTAL</v>
      </c>
      <c r="U254" t="str">
        <f t="shared" si="36"/>
        <v>GDGI+PAINT일반형15kWINCREMENTAL</v>
      </c>
      <c r="V254" t="str">
        <f t="shared" si="37"/>
        <v>20411310G0300</v>
      </c>
      <c r="W254" t="str">
        <f t="shared" si="38"/>
        <v>WBST-SE 일반형 (ELD일체형)</v>
      </c>
      <c r="X254" s="446" t="s">
        <v>2408</v>
      </c>
      <c r="Y254" s="1" t="s">
        <v>2409</v>
      </c>
      <c r="Z254" s="1" t="s">
        <v>1309</v>
      </c>
      <c r="AA254" s="448" t="s">
        <v>2410</v>
      </c>
    </row>
    <row r="255" spans="1:27">
      <c r="A255" s="450">
        <f t="shared" ca="1" si="30"/>
        <v>244</v>
      </c>
      <c r="B255" s="451" t="s">
        <v>2394</v>
      </c>
      <c r="C255" s="451" t="s">
        <v>746</v>
      </c>
      <c r="D255" s="451" t="s">
        <v>2411</v>
      </c>
      <c r="E255" s="451" t="s">
        <v>2412</v>
      </c>
      <c r="F255" s="451" t="s">
        <v>1933</v>
      </c>
      <c r="G255" s="451" t="s">
        <v>2413</v>
      </c>
      <c r="H255" s="31" t="s">
        <v>1955</v>
      </c>
      <c r="I255" s="451" t="s">
        <v>1840</v>
      </c>
      <c r="J255" s="451"/>
      <c r="K255" s="452"/>
      <c r="L255" s="6" t="str">
        <f t="shared" si="31"/>
        <v xml:space="preserve">일반, 22kW, INCREMENTAL, GI+PAINT, , </v>
      </c>
      <c r="N255" t="s">
        <v>2397</v>
      </c>
      <c r="O255" t="str">
        <f t="shared" si="39"/>
        <v>GI+PAINT</v>
      </c>
      <c r="P255" t="s">
        <v>77</v>
      </c>
      <c r="R255" t="str">
        <f t="shared" si="33"/>
        <v>22kW</v>
      </c>
      <c r="S255" t="str">
        <f t="shared" si="34"/>
        <v>INCREMENTAL</v>
      </c>
      <c r="U255" t="str">
        <f t="shared" si="36"/>
        <v>GDGI+PAINT일반형22kWINCREMENTAL</v>
      </c>
      <c r="V255" t="str">
        <f t="shared" si="37"/>
        <v>20411310G0400</v>
      </c>
      <c r="W255" t="str">
        <f t="shared" si="38"/>
        <v>WBST-SE 일반형 (ELD일체형)</v>
      </c>
      <c r="X255" s="453" t="s">
        <v>2414</v>
      </c>
      <c r="Y255" s="23" t="s">
        <v>2415</v>
      </c>
      <c r="Z255" s="23" t="s">
        <v>1312</v>
      </c>
      <c r="AA255" s="451" t="s">
        <v>2416</v>
      </c>
    </row>
    <row r="256" spans="1:27">
      <c r="A256" s="443">
        <f t="shared" ca="1" si="30"/>
        <v>245</v>
      </c>
      <c r="B256" s="444" t="s">
        <v>2394</v>
      </c>
      <c r="C256" s="444" t="s">
        <v>746</v>
      </c>
      <c r="D256" s="444" t="s">
        <v>2417</v>
      </c>
      <c r="E256" s="444" t="s">
        <v>2418</v>
      </c>
      <c r="F256" s="444" t="s">
        <v>1933</v>
      </c>
      <c r="G256" s="444" t="s">
        <v>2396</v>
      </c>
      <c r="H256" s="31" t="s">
        <v>1955</v>
      </c>
      <c r="I256" s="444" t="s">
        <v>2224</v>
      </c>
      <c r="L256" s="6" t="str">
        <f t="shared" si="31"/>
        <v xml:space="preserve">일반, 7.5kW, INCREMENTAL, GI, , </v>
      </c>
      <c r="N256" t="s">
        <v>2397</v>
      </c>
      <c r="O256" t="str">
        <f t="shared" si="39"/>
        <v>GI</v>
      </c>
      <c r="P256" t="s">
        <v>77</v>
      </c>
      <c r="R256" t="str">
        <f t="shared" si="33"/>
        <v>7.5kW</v>
      </c>
      <c r="S256" t="str">
        <f t="shared" si="34"/>
        <v>INCREMENTAL</v>
      </c>
      <c r="U256" t="str">
        <f t="shared" si="36"/>
        <v>GDGI일반형7.5kWINCREMENTAL</v>
      </c>
      <c r="V256" t="str">
        <f t="shared" si="37"/>
        <v>20411311G0100</v>
      </c>
      <c r="W256" t="str">
        <f t="shared" si="38"/>
        <v>WBST-SE 일반형 (ELD일체형)</v>
      </c>
      <c r="X256" s="446" t="s">
        <v>2398</v>
      </c>
      <c r="Y256" s="1" t="s">
        <v>2399</v>
      </c>
      <c r="Z256" s="1" t="s">
        <v>1311</v>
      </c>
      <c r="AA256" s="444" t="s">
        <v>2419</v>
      </c>
    </row>
    <row r="257" spans="1:27">
      <c r="A257" s="447">
        <f t="shared" ca="1" si="30"/>
        <v>246</v>
      </c>
      <c r="B257" s="448" t="s">
        <v>2394</v>
      </c>
      <c r="C257" s="448" t="s">
        <v>746</v>
      </c>
      <c r="D257" s="448" t="s">
        <v>1239</v>
      </c>
      <c r="E257" s="448" t="s">
        <v>2420</v>
      </c>
      <c r="F257" s="448" t="s">
        <v>1933</v>
      </c>
      <c r="G257" s="448" t="s">
        <v>2402</v>
      </c>
      <c r="H257" s="31" t="s">
        <v>1955</v>
      </c>
      <c r="I257" s="448" t="s">
        <v>2224</v>
      </c>
      <c r="L257" s="6" t="str">
        <f t="shared" si="31"/>
        <v xml:space="preserve">일반, 11kW, INCREMENTAL, GI, , </v>
      </c>
      <c r="N257" t="s">
        <v>2397</v>
      </c>
      <c r="O257" t="str">
        <f t="shared" si="39"/>
        <v>GI</v>
      </c>
      <c r="P257" t="s">
        <v>77</v>
      </c>
      <c r="R257" t="str">
        <f t="shared" si="33"/>
        <v>11kW</v>
      </c>
      <c r="S257" t="str">
        <f t="shared" si="34"/>
        <v>INCREMENTAL</v>
      </c>
      <c r="U257" t="str">
        <f t="shared" si="36"/>
        <v>GDGI일반형11kWINCREMENTAL</v>
      </c>
      <c r="V257" t="str">
        <f t="shared" si="37"/>
        <v>20411311G0200</v>
      </c>
      <c r="W257" t="str">
        <f t="shared" si="38"/>
        <v>WBST-SE 일반형 (ELD일체형)</v>
      </c>
      <c r="X257" s="446" t="s">
        <v>2403</v>
      </c>
      <c r="Y257" s="1" t="s">
        <v>2404</v>
      </c>
      <c r="Z257" s="1" t="s">
        <v>1356</v>
      </c>
      <c r="AA257" s="448" t="s">
        <v>2421</v>
      </c>
    </row>
    <row r="258" spans="1:27">
      <c r="A258" s="447">
        <f t="shared" ca="1" si="30"/>
        <v>247</v>
      </c>
      <c r="B258" s="448" t="s">
        <v>2394</v>
      </c>
      <c r="C258" s="448" t="s">
        <v>746</v>
      </c>
      <c r="D258" s="448" t="s">
        <v>2422</v>
      </c>
      <c r="E258" s="448" t="s">
        <v>2423</v>
      </c>
      <c r="F258" s="448" t="s">
        <v>1933</v>
      </c>
      <c r="G258" s="448" t="s">
        <v>1307</v>
      </c>
      <c r="H258" s="31" t="s">
        <v>1955</v>
      </c>
      <c r="I258" s="448" t="s">
        <v>2224</v>
      </c>
      <c r="L258" s="6" t="str">
        <f t="shared" si="31"/>
        <v xml:space="preserve">일반, 15kW, INCREMENTAL, GI, , </v>
      </c>
      <c r="N258" t="s">
        <v>2397</v>
      </c>
      <c r="O258" t="str">
        <f t="shared" si="39"/>
        <v>GI</v>
      </c>
      <c r="P258" t="s">
        <v>77</v>
      </c>
      <c r="R258" t="str">
        <f t="shared" si="33"/>
        <v>15kW</v>
      </c>
      <c r="S258" t="str">
        <f t="shared" si="34"/>
        <v>INCREMENTAL</v>
      </c>
      <c r="U258" t="str">
        <f t="shared" si="36"/>
        <v>GDGI일반형15kWINCREMENTAL</v>
      </c>
      <c r="V258" t="str">
        <f t="shared" si="37"/>
        <v>20411311G0300</v>
      </c>
      <c r="W258" t="str">
        <f t="shared" si="38"/>
        <v>WBST-SE 일반형 (ELD일체형)</v>
      </c>
      <c r="X258" s="446" t="s">
        <v>2408</v>
      </c>
      <c r="Y258" s="1" t="s">
        <v>2409</v>
      </c>
      <c r="Z258" s="1" t="s">
        <v>1309</v>
      </c>
      <c r="AA258" s="448" t="s">
        <v>2424</v>
      </c>
    </row>
    <row r="259" spans="1:27">
      <c r="A259" s="450">
        <f t="shared" ca="1" si="30"/>
        <v>248</v>
      </c>
      <c r="B259" s="451" t="s">
        <v>2394</v>
      </c>
      <c r="C259" s="451" t="s">
        <v>746</v>
      </c>
      <c r="D259" s="451" t="s">
        <v>1241</v>
      </c>
      <c r="E259" s="451" t="s">
        <v>2425</v>
      </c>
      <c r="F259" s="451" t="s">
        <v>1933</v>
      </c>
      <c r="G259" s="451" t="s">
        <v>2413</v>
      </c>
      <c r="H259" s="31" t="s">
        <v>1955</v>
      </c>
      <c r="I259" s="451" t="s">
        <v>2224</v>
      </c>
      <c r="L259" s="6" t="str">
        <f t="shared" si="31"/>
        <v xml:space="preserve">일반, 22kW, INCREMENTAL, GI, , </v>
      </c>
      <c r="N259" t="s">
        <v>2397</v>
      </c>
      <c r="O259" t="str">
        <f t="shared" si="39"/>
        <v>GI</v>
      </c>
      <c r="P259" t="s">
        <v>77</v>
      </c>
      <c r="R259" t="str">
        <f t="shared" si="33"/>
        <v>22kW</v>
      </c>
      <c r="S259" t="str">
        <f t="shared" si="34"/>
        <v>INCREMENTAL</v>
      </c>
      <c r="U259" t="str">
        <f t="shared" si="36"/>
        <v>GDGI일반형22kWINCREMENTAL</v>
      </c>
      <c r="V259" t="str">
        <f t="shared" si="37"/>
        <v>20411311G0400</v>
      </c>
      <c r="W259" t="str">
        <f t="shared" si="38"/>
        <v>WBST-SE 일반형 (ELD일체형)</v>
      </c>
      <c r="X259" s="453" t="s">
        <v>2414</v>
      </c>
      <c r="Y259" s="23" t="s">
        <v>2415</v>
      </c>
      <c r="Z259" s="23" t="s">
        <v>1312</v>
      </c>
      <c r="AA259" s="451" t="s">
        <v>2426</v>
      </c>
    </row>
  </sheetData>
  <autoFilter ref="N11:Y251" xr:uid="{D0BE9BF6-6126-4EA4-AF54-C7F755F8D23A}"/>
  <mergeCells count="12">
    <mergeCell ref="A6:L6"/>
    <mergeCell ref="A1:L1"/>
    <mergeCell ref="A2:L2"/>
    <mergeCell ref="A3:L3"/>
    <mergeCell ref="A4:L4"/>
    <mergeCell ref="A5:L5"/>
    <mergeCell ref="A9:L9"/>
    <mergeCell ref="A10:A11"/>
    <mergeCell ref="B10:B11"/>
    <mergeCell ref="C10:C11"/>
    <mergeCell ref="D10:D11"/>
    <mergeCell ref="L10:L11"/>
  </mergeCells>
  <phoneticPr fontId="1" type="noConversion"/>
  <pageMargins left="0.7" right="0.7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2</vt:i4>
      </vt:variant>
    </vt:vector>
  </HeadingPairs>
  <TitlesOfParts>
    <vt:vector size="10" baseType="lpstr">
      <vt:lpstr>SE 견적서</vt:lpstr>
      <vt:lpstr>사양 입력</vt:lpstr>
      <vt:lpstr>WBLX</vt:lpstr>
      <vt:lpstr>WBSS</vt:lpstr>
      <vt:lpstr>WBST</vt:lpstr>
      <vt:lpstr>원가정보3</vt:lpstr>
      <vt:lpstr>DROP DOWN 지정</vt:lpstr>
      <vt:lpstr>CP ASSY</vt:lpstr>
      <vt:lpstr>'SE 견적서'!Print_Area</vt:lpstr>
      <vt:lpstr>'사양 입력'!Print_Area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안재형/AHN JAE HYEONG</dc:creator>
  <cp:lastModifiedBy>안재형/AHN JAE HYEONG</cp:lastModifiedBy>
  <dcterms:created xsi:type="dcterms:W3CDTF">2026-09-03T00:52:25Z</dcterms:created>
  <dcterms:modified xsi:type="dcterms:W3CDTF">2026-09-29T07:47:13Z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fd51960-f5ab-455f-8de0-bc0d6c02aaf3_Enabled">
    <vt:lpwstr>true</vt:lpwstr>
  </property>
  <property fmtid="{D5CDD505-2E9C-101B-9397-08002B2CF9AE}" pid="3" name="MSIP_Label_1fd51960-f5ab-455f-8de0-bc0d6c02aaf3_SetDate">
    <vt:lpwstr>2026-10-28T06:21:15Z</vt:lpwstr>
  </property>
  <property fmtid="{D5CDD505-2E9C-101B-9397-08002B2CF9AE}" pid="4" name="MSIP_Label_1fd51960-f5ab-455f-8de0-bc0d6c02aaf3_Method">
    <vt:lpwstr>Privileged</vt:lpwstr>
  </property>
  <property fmtid="{D5CDD505-2E9C-101B-9397-08002B2CF9AE}" pid="5" name="MSIP_Label_1fd51960-f5ab-455f-8de0-bc0d6c02aaf3_Name">
    <vt:lpwstr>Public</vt:lpwstr>
  </property>
  <property fmtid="{D5CDD505-2E9C-101B-9397-08002B2CF9AE}" pid="6" name="MSIP_Label_1fd51960-f5ab-455f-8de0-bc0d6c02aaf3_SiteId">
    <vt:lpwstr>f8d5ac98-8fa9-4355-8cd9-84f322fb0a78</vt:lpwstr>
  </property>
  <property fmtid="{D5CDD505-2E9C-101B-9397-08002B2CF9AE}" pid="7" name="MSIP_Label_1fd51960-f5ab-455f-8de0-bc0d6c02aaf3_ActionId">
    <vt:lpwstr>15ce8750-8ee7-46ed-9394-c4a0d6fb32cf</vt:lpwstr>
  </property>
  <property fmtid="{D5CDD505-2E9C-101B-9397-08002B2CF9AE}" pid="8" name="MSIP_Label_1fd51960-f5ab-455f-8de0-bc0d6c02aaf3_ContentBits">
    <vt:lpwstr>0</vt:lpwstr>
  </property>
</Properties>
</file>